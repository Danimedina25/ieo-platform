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87a439747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7cb6834a39e42be"/>
    <x:sheet xmlns:r="http://schemas.openxmlformats.org/officeDocument/2006/relationships" name="01_CASOS" sheetId="2" r:id="R8d7ab642380a4f6b"/>
    <x:sheet xmlns:r="http://schemas.openxmlformats.org/officeDocument/2006/relationships" name="02_REACTIVOS" sheetId="3" r:id="R717425f252374bcc"/>
    <x:sheet xmlns:r="http://schemas.openxmlformats.org/officeDocument/2006/relationships" name="03_COBERTURA" sheetId="4" r:id="R81b22b1025e84617"/>
    <x:sheet xmlns:r="http://schemas.openxmlformats.org/officeDocument/2006/relationships" name="04_PI" sheetId="5" r:id="Rf2a017a2d42946d3"/>
    <x:sheet xmlns:r="http://schemas.openxmlformats.org/officeDocument/2006/relationships" name="05_RP" sheetId="6" r:id="Rcccdb609fb6f4e60"/>
    <x:sheet xmlns:r="http://schemas.openxmlformats.org/officeDocument/2006/relationships" name="06_BT" sheetId="7" r:id="R8f97ba4bec4c49af"/>
    <x:sheet xmlns:r="http://schemas.openxmlformats.org/officeDocument/2006/relationships" name="07_RI" sheetId="8" r:id="R872ee004cc054dd4"/>
    <x:sheet xmlns:r="http://schemas.openxmlformats.org/officeDocument/2006/relationships" name="08_GLOBAL" sheetId="9" r:id="R1ac457eb2dcf40b4"/>
    <x:sheet xmlns:r="http://schemas.openxmlformats.org/officeDocument/2006/relationships" name="09_END_TO_END" sheetId="10" r:id="Rda29c99da51640c6"/>
    <x:sheet xmlns:r="http://schemas.openxmlformats.org/officeDocument/2006/relationships" name="10_ACEPTACION" sheetId="11" r:id="Rbc46b0c5ebe64d67"/>
    <x:sheet xmlns:r="http://schemas.openxmlformats.org/officeDocument/2006/relationships" name="11_REGLAS" sheetId="12" r:id="Rf11aa64ad94d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.000000"/>
    <x:numFmt numFmtId="203" formatCode="0.00%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EF4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2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eafbcc5914b12" /><Relationship Type="http://schemas.openxmlformats.org/officeDocument/2006/relationships/theme" Target="/xl/theme/theme1.xml" Id="R1233fbc7488f4a1c" /><Relationship Type="http://schemas.microsoft.com/office/2022/11/relationships/FeaturePropertyBag" Target="/xl/featurePropertyBag/featurePropertyBag.xml" Id="Rcbb901a3a469464d" /><Relationship Type="http://schemas.openxmlformats.org/officeDocument/2006/relationships/sharedStrings" Target="/xl/sharedStrings.xml" Id="R72c17b163b9141b5" /><Relationship Type="http://schemas.openxmlformats.org/officeDocument/2006/relationships/worksheet" Target="/xl/worksheets/sheet1.xml" Id="Rb7cb6834a39e42be" /><Relationship Type="http://schemas.openxmlformats.org/officeDocument/2006/relationships/worksheet" Target="/xl/worksheets/sheet2.xml" Id="R8d7ab642380a4f6b" /><Relationship Type="http://schemas.openxmlformats.org/officeDocument/2006/relationships/worksheet" Target="/xl/worksheets/sheet3.xml" Id="R717425f252374bcc" /><Relationship Type="http://schemas.openxmlformats.org/officeDocument/2006/relationships/worksheet" Target="/xl/worksheets/sheet4.xml" Id="R81b22b1025e84617" /><Relationship Type="http://schemas.openxmlformats.org/officeDocument/2006/relationships/worksheet" Target="/xl/worksheets/sheet5.xml" Id="Rf2a017a2d42946d3" /><Relationship Type="http://schemas.openxmlformats.org/officeDocument/2006/relationships/worksheet" Target="/xl/worksheets/sheet6.xml" Id="Rcccdb609fb6f4e60" /><Relationship Type="http://schemas.openxmlformats.org/officeDocument/2006/relationships/worksheet" Target="/xl/worksheets/sheet7.xml" Id="R8f97ba4bec4c49af" /><Relationship Type="http://schemas.openxmlformats.org/officeDocument/2006/relationships/worksheet" Target="/xl/worksheets/sheet8.xml" Id="R872ee004cc054dd4" /><Relationship Type="http://schemas.openxmlformats.org/officeDocument/2006/relationships/worksheet" Target="/xl/worksheets/sheet9.xml" Id="R1ac457eb2dcf40b4" /><Relationship Type="http://schemas.openxmlformats.org/officeDocument/2006/relationships/worksheet" Target="/xl/worksheets/sheet10.xml" Id="Rda29c99da51640c6" /><Relationship Type="http://schemas.openxmlformats.org/officeDocument/2006/relationships/worksheet" Target="/xl/worksheets/sheet11.xml" Id="Rbc46b0c5ebe64d67" /><Relationship Type="http://schemas.openxmlformats.org/officeDocument/2006/relationships/worksheet" Target="/xl/worksheets/sheet12.xml" Id="Rf11aa64ad94d4c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oCasos" displayName="CatalogoCasos" ref="A3:H25" headerRowCount="1" totalsRowCount="0" totalsRowShown="0">
  <x:tableColumns count="8">
    <x:tableColumn id="1" name="case_id"/>
    <x:tableColumn id="2" name="layer"/>
    <x:tableColumn id="3" name="case_name"/>
    <x:tableColumn id="4" name="what_it_tests"/>
    <x:tableColumn id="5" name="critical"/>
    <x:tableColumn id="6" name="expected_summary"/>
    <x:tableColumn id="7" name="source_ru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uebasReactivos" displayName="PruebasReactivos" ref="A3:J8" headerRowCount="1" totalsRowCount="0" totalsRowShown="0">
  <x:tableColumns count="10">
    <x:tableColumn id="1" name="case_id"/>
    <x:tableColumn id="2" name="raw_response"/>
    <x:tableColumn id="3" name="orientation"/>
    <x:tableColumn id="4" name="na_allowed"/>
    <x:tableColumn id="5" name="expected_recoded"/>
    <x:tableColumn id="6" name="expected_score_100"/>
    <x:tableColumn id="7" name="expected_is_na"/>
    <x:tableColumn id="8" name="expected_status"/>
    <x:tableColumn id="9" name="platform_score_100"/>
    <x:tableColumn id="10" name="pass_f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uebasCobertura" displayName="PruebasCobertura" ref="A3:J5" headerRowCount="1" totalsRowCount="0" totalsRowShown="0">
  <x:tableColumns count="10">
    <x:tableColumn id="1" name="case_id"/>
    <x:tableColumn id="2" name="total_items_element"/>
    <x:tableColumn id="3" name="valid_items"/>
    <x:tableColumn id="4" name="na_items"/>
    <x:tableColumn id="5" name="expected_coverage"/>
    <x:tableColumn id="6" name="expected_coverage_pct"/>
    <x:tableColumn id="7" name="expected_status"/>
    <x:tableColumn id="8" name="expected_PI_status"/>
    <x:tableColumn id="9" name="platform_status"/>
    <x:tableColumn id="10" name="pass_f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uebasPI" displayName="PruebasPI" ref="A3:L5" headerRowCount="1" totalsRowCount="0" totalsRowShown="0">
  <x:tableColumns count="12">
    <x:tableColumn id="1" name="case_id"/>
    <x:tableColumn id="2" name="score1"/>
    <x:tableColumn id="3" name="score2"/>
    <x:tableColumn id="4" name="score3"/>
    <x:tableColumn id="5" name="score4"/>
    <x:tableColumn id="6" name="score5"/>
    <x:tableColumn id="7" name="valid_count"/>
    <x:tableColumn id="8" name="expected_PI"/>
    <x:tableColumn id="9" name="expected_status"/>
    <x:tableColumn id="10" name="platform_PI"/>
    <x:tableColumn id="11" name="platform_status"/>
    <x:tableColumn id="12" name="pass_f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uebasRP" displayName="PruebasRP" ref="A3:K5" headerRowCount="1" totalsRowCount="0" totalsRowShown="0">
  <x:tableColumns count="11">
    <x:tableColumn id="1" name="case_id"/>
    <x:tableColumn id="2" name="PI_1"/>
    <x:tableColumn id="3" name="PI_2"/>
    <x:tableColumn id="4" name="PI_3"/>
    <x:tableColumn id="5" name="PI_4"/>
    <x:tableColumn id="6" name="valid_pi_count"/>
    <x:tableColumn id="7" name="expected_RP"/>
    <x:tableColumn id="8" name="expected_status"/>
    <x:tableColumn id="9" name="platform_RP"/>
    <x:tableColumn id="10" name="platform_status"/>
    <x:tableColumn id="11" name="pass_f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uebasBT" displayName="PruebasBT" ref="A3:J9" headerRowCount="1" totalsRowCount="0" totalsRowShown="0">
  <x:tableColumns count="10">
    <x:tableColumn id="1" name="case_id"/>
    <x:tableColumn id="2" name="rp_min"/>
    <x:tableColumn id="3" name="rp_max"/>
    <x:tableColumn id="4" name="expected_BT"/>
    <x:tableColumn id="5" name="expected_class"/>
    <x:tableColumn id="6" name="platform_BT"/>
    <x:tableColumn id="7" name="platform_class"/>
    <x:tableColumn id="8" name="max_perspective"/>
    <x:tableColumn id="9" name="min_perspective"/>
    <x:tableColumn id="10" name="pass_fai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uebasRI" displayName="PruebasRI" ref="A3:M5" headerRowCount="1" totalsRowCount="0" totalsRowShown="0">
  <x:tableColumns count="13">
    <x:tableColumn id="1" name="case_id"/>
    <x:tableColumn id="2" name="DIR_RP"/>
    <x:tableColumn id="3" name="DIR_n"/>
    <x:tableColumn id="4" name="COL_RP"/>
    <x:tableColumn id="5" name="COL_n"/>
    <x:tableColumn id="6" name="ESP_RP"/>
    <x:tableColumn id="7" name="LID_RP"/>
    <x:tableColumn id="8" name="CLI_RP"/>
    <x:tableColumn id="9" name="valid_perspectives"/>
    <x:tableColumn id="10" name="expected_RI"/>
    <x:tableColumn id="11" name="expected_status"/>
    <x:tableColumn id="12" name="platform_RI"/>
    <x:tableColumn id="13" name="pass_fai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uebasGlobal" displayName="PruebasGlobal" ref="A3:N5" headerRowCount="1" totalsRowCount="0" totalsRowShown="0">
  <x:tableColumns count="14">
    <x:tableColumn id="1" name="case_id"/>
    <x:tableColumn id="2" name="RI_E1"/>
    <x:tableColumn id="3" name="RI_E2"/>
    <x:tableColumn id="4" name="RI_E3"/>
    <x:tableColumn id="5" name="RI_E4"/>
    <x:tableColumn id="6" name="RI_E5"/>
    <x:tableColumn id="7" name="RI_E6"/>
    <x:tableColumn id="8" name="RI_E7"/>
    <x:tableColumn id="9" name="RI_E8"/>
    <x:tableColumn id="10" name="expected_global"/>
    <x:tableColumn id="11" name="expected_health"/>
    <x:tableColumn id="12" name="expected_light"/>
    <x:tableColumn id="13" name="platform_global"/>
    <x:tableColumn id="14" name="pass_fai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ndToEndRP" displayName="EndToEndRP" ref="A4:K9" headerRowCount="1" totalsRowCount="0" totalsRowShown="0">
  <x:tableColumns count="11">
    <x:tableColumn id="1" name="perspective"/>
    <x:tableColumn id="2" name="PI_1"/>
    <x:tableColumn id="3" name="PI_2"/>
    <x:tableColumn id="4" name="PI_3"/>
    <x:tableColumn id="5" name="PI_4"/>
    <x:tableColumn id="6" name="valid_pi_count"/>
    <x:tableColumn id="7" name="expected_RP"/>
    <x:tableColumn id="8" name="platform_RP"/>
    <x:tableColumn id="9" name="RP_pass"/>
    <x:tableColumn id="10" name="sample_size_note"/>
    <x:tableColumn id="11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trizAceptacion" displayName="MatrizAceptacion" ref="A3:K25" headerRowCount="1" totalsRowCount="0" totalsRowShown="0">
  <x:tableColumns count="11">
    <x:tableColumn id="1" name="case_id"/>
    <x:tableColumn id="2" name="layer"/>
    <x:tableColumn id="3" name="case_name"/>
    <x:tableColumn id="4" name="expected_result"/>
    <x:tableColumn id="5" name="platform_result"/>
    <x:tableColumn id="6" name="expected_status/class"/>
    <x:tableColumn id="7" name="platform_status/class"/>
    <x:tableColumn id="8" name="tester"/>
    <x:tableColumn id="9" name="test_date"/>
    <x:tableColumn id="10" name="pass_fail"/>
    <x:tableColumn id="11" name="commen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lasValidacion" displayName="ReglasValidacion" ref="A3:G16" headerRowCount="1" totalsRowCount="0" totalsRowShown="0">
  <x:tableColumns count="7">
    <x:tableColumn id="1" name="rule_id"/>
    <x:tableColumn id="2" name="rule_name"/>
    <x:tableColumn id="3" name="condition"/>
    <x:tableColumn id="4" name="expected_behavior"/>
    <x:tableColumn id="5" name="prohibited_behavior"/>
    <x:tableColumn id="6" name="test_cases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b45541a7a84a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b80f1fc8c94a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8dcca33d1d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308a25fa2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a5367f0536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bfa6a9360643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f61cfdb39649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b08be3e5c24f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a793f1256e4f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7006ee6ae248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b8901efa77e41e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46" t="str">
        <x:v>MATRIZ DE CASOS DE PRUEBA Y RESULTADOS ESPERADOS IEO® · v1.0</x:v>
      </x:c>
      <x:c r="B1" s="46"/>
      <x:c r="C1" s="46"/>
      <x:c r="D1" s="46"/>
      <x:c r="E1" s="46"/>
      <x:c r="F1" s="46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12" t="str">
        <x:v>Prueba de aceptación metodológica para validar que la plataforma reproduce exactamente las reglas oficiales del IEO®.</x:v>
      </x:c>
      <x:c r="B2" s="12"/>
      <x:c r="C2" s="12"/>
      <x:c r="D2" s="12"/>
      <x:c r="E2" s="12"/>
      <x:c r="F2" s="12"/>
    </x:row>
    <x:row r="4">
      <x:c r="A4" s="20" t="str">
        <x:v>Campo</x:v>
      </x:c>
      <x:c r="B4" s="20" t="str">
        <x:v>Definición</x:v>
      </x:c>
      <x:c r="C4" s="20" t="str"/>
      <x:c r="D4" s="20" t="str"/>
      <x:c r="E4" s="20" t="str"/>
      <x:c r="F4" s="20" t="str"/>
    </x:row>
    <x:row r="5">
      <x:c r="A5" s="26" t="str">
        <x:v>Versión</x:v>
      </x:c>
      <x:c r="B5" s="26" t="str">
        <x:v>1.0</x:v>
      </x:c>
      <x:c r="C5" s="26" t="str"/>
      <x:c r="D5" s="26" t="str"/>
      <x:c r="E5" s="26" t="str"/>
      <x:c r="F5" s="26" t="str"/>
    </x:row>
    <x:row r="6">
      <x:c r="A6" s="26" t="str">
        <x:v>Escala</x:v>
      </x:c>
      <x:c r="B6" s="26" t="str">
        <x:v>Likert 1–5 → 0, 25, 50, 75, 100</x:v>
      </x:c>
      <x:c r="C6" s="26" t="str"/>
      <x:c r="D6" s="26" t="str"/>
      <x:c r="E6" s="26" t="str"/>
      <x:c r="F6" s="26" t="str"/>
    </x:row>
    <x:row r="7">
      <x:c r="A7" s="26" t="str">
        <x:v>Inversos</x:v>
      </x:c>
      <x:c r="B7" s="26" t="str">
        <x:v>recoded = 6 − raw_response</x:v>
      </x:c>
      <x:c r="C7" s="26" t="str"/>
      <x:c r="D7" s="26" t="str"/>
      <x:c r="E7" s="26" t="str"/>
      <x:c r="F7" s="26" t="str"/>
    </x:row>
    <x:row r="8">
      <x:c r="A8" s="26" t="str">
        <x:v>N/A</x:v>
      </x:c>
      <x:c r="B8" s="26" t="str">
        <x:v>No es puntuación; se excluye y no se imputa.</x:v>
      </x:c>
      <x:c r="C8" s="26" t="str"/>
      <x:c r="D8" s="26" t="str"/>
      <x:c r="E8" s="26" t="str"/>
      <x:c r="F8" s="26" t="str"/>
    </x:row>
    <x:row r="9">
      <x:c r="A9" s="26" t="str">
        <x:v>Cobertura</x:v>
      </x:c>
      <x:c r="B9" s="26" t="str">
        <x:v>PI sólo con ≥60% de reactivos válidos del Elemento.</x:v>
      </x:c>
      <x:c r="C9" s="26" t="str"/>
      <x:c r="D9" s="26" t="str"/>
      <x:c r="E9" s="26" t="str"/>
      <x:c r="F9" s="26" t="str"/>
    </x:row>
    <x:row r="10">
      <x:c r="A10" s="26" t="str">
        <x:v>BT</x:v>
      </x:c>
      <x:c r="B10" s="26" t="str">
        <x:v>MAX(RP) − MIN(RP); requiere ≥2 perspectivas válidas.</x:v>
      </x:c>
      <x:c r="C10" s="26" t="str"/>
      <x:c r="D10" s="26" t="str"/>
      <x:c r="E10" s="26" t="str"/>
      <x:c r="F10" s="26" t="str"/>
    </x:row>
    <x:row r="11">
      <x:c r="A11" s="26" t="str">
        <x:v>RI</x:v>
      </x:c>
      <x:c r="B11" s="26" t="str">
        <x:v>Promedio simple de RP válidos; ≥2 para INTEGRATED.</x:v>
      </x:c>
      <x:c r="C11" s="26" t="str"/>
      <x:c r="D11" s="26" t="str"/>
      <x:c r="E11" s="26" t="str"/>
      <x:c r="F11" s="26" t="str"/>
    </x:row>
    <x:row r="12">
      <x:c r="A12" s="26" t="str">
        <x:v>IEO Global</x:v>
      </x:c>
      <x:c r="B12" s="26" t="str">
        <x:v>Promedio de 8 RI; completo con 8 Elementos integrados válidos.</x:v>
      </x:c>
      <x:c r="C12" s="26" t="str"/>
      <x:c r="D12" s="26" t="str"/>
      <x:c r="E12" s="26" t="str"/>
      <x:c r="F12" s="26" t="str"/>
    </x:row>
    <x:row r="13">
      <x:c r="A13" s="26" t="str">
        <x:v>Redondeo</x:v>
      </x:c>
      <x:c r="B13" s="26" t="str">
        <x:v>Sólo al final; nunca en cálculos intermedios.</x:v>
      </x:c>
      <x:c r="C13" s="26" t="str"/>
      <x:c r="D13" s="26" t="str"/>
      <x:c r="E13" s="26" t="str"/>
      <x:c r="F13" s="26" t="str"/>
    </x:row>
    <x:row r="14">
      <x:c r="A14" s="26" t="str">
        <x:v>Criterio de aceptación</x:v>
      </x:c>
      <x:c r="B14" s="26" t="str">
        <x:v>Todos los casos críticos deben obtener PASS antes del piloto.</x:v>
      </x:c>
      <x:c r="C14" s="26" t="str"/>
      <x:c r="D14" s="26" t="str"/>
      <x:c r="E14" s="26" t="str"/>
      <x:c r="F14" s="2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4" hidden="0" customWidth="1"/>
    <x:col min="5" max="5" width="12" hidden="0" customWidth="1"/>
    <x:col min="6" max="6" width="42" hidden="0" customWidth="1"/>
    <x:col min="7" max="7" width="20" hidden="0" customWidth="1"/>
    <x:col min="8" max="8" width="14" hidden="0" customWidth="1"/>
  </x:cols>
  <x:sheetData>
    <x:row r="1">
      <x:c r="A1" s="46" t="str">
        <x:v>CATÁLOGO GENERAL DE CASOS DE PRUEBA</x:v>
      </x:c>
      <x:c r="B1" s="46"/>
      <x:c r="C1" s="46"/>
      <x:c r="D1" s="46"/>
      <x:c r="E1" s="46"/>
      <x:c r="F1" s="46"/>
      <x:c r="G1" s="46"/>
      <x:c r="H1" s="46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layer</x:v>
      </x:c>
      <x:c r="C3" s="20" t="str">
        <x:v>case_name</x:v>
      </x:c>
      <x:c r="D3" s="20" t="str">
        <x:v>what_it_tests</x:v>
      </x:c>
      <x:c r="E3" s="20" t="str">
        <x:v>critical</x:v>
      </x:c>
      <x:c r="F3" s="20" t="str">
        <x:v>expected_summary</x:v>
      </x:c>
      <x:c r="G3" s="20" t="str">
        <x:v>source_rule</x:v>
      </x:c>
      <x:c r="H3" s="20" t="str">
        <x:v>status</x:v>
      </x:c>
    </x:row>
    <x:row r="4">
      <x:c r="A4" s="26" t="str">
        <x:v>T01</x:v>
      </x:c>
      <x:c r="B4" s="26" t="str">
        <x:v>Reactivo</x:v>
      </x:c>
      <x:c r="C4" s="26" t="str">
        <x:v>Directo mínimo</x:v>
      </x:c>
      <x:c r="D4" s="26" t="str">
        <x:v>1→0</x:v>
      </x:c>
      <x:c r="E4" s="30" t="b">
        <x:v>1</x:v>
      </x:c>
      <x:c r="F4" s="26" t="str">
        <x:v>score_100=0</x:v>
      </x:c>
      <x:c r="G4" s="26" t="str">
        <x:v>R004</x:v>
      </x:c>
      <x:c r="H4" s="26" t="str">
        <x:v>READY</x:v>
      </x:c>
    </x:row>
    <x:row r="5">
      <x:c r="A5" s="26" t="str">
        <x:v>T02</x:v>
      </x:c>
      <x:c r="B5" s="26" t="str">
        <x:v>Reactivo</x:v>
      </x:c>
      <x:c r="C5" s="26" t="str">
        <x:v>Directo máximo</x:v>
      </x:c>
      <x:c r="D5" s="26" t="str">
        <x:v>5→100</x:v>
      </x:c>
      <x:c r="E5" s="30" t="b">
        <x:v>1</x:v>
      </x:c>
      <x:c r="F5" s="26" t="str">
        <x:v>score_100=100</x:v>
      </x:c>
      <x:c r="G5" s="26" t="str">
        <x:v>R004</x:v>
      </x:c>
      <x:c r="H5" s="26" t="str">
        <x:v>READY</x:v>
      </x:c>
    </x:row>
    <x:row r="6">
      <x:c r="A6" s="26" t="str">
        <x:v>T03</x:v>
      </x:c>
      <x:c r="B6" s="26" t="str">
        <x:v>Reactivo</x:v>
      </x:c>
      <x:c r="C6" s="26" t="str">
        <x:v>Inverso mínimo</x:v>
      </x:c>
      <x:c r="D6" s="26" t="str">
        <x:v>1→5→100</x:v>
      </x:c>
      <x:c r="E6" s="30" t="b">
        <x:v>1</x:v>
      </x:c>
      <x:c r="F6" s="26" t="str">
        <x:v>score_100=100</x:v>
      </x:c>
      <x:c r="G6" s="26" t="str">
        <x:v>R002/R004</x:v>
      </x:c>
      <x:c r="H6" s="26" t="str">
        <x:v>READY</x:v>
      </x:c>
    </x:row>
    <x:row r="7">
      <x:c r="A7" s="26" t="str">
        <x:v>T04</x:v>
      </x:c>
      <x:c r="B7" s="26" t="str">
        <x:v>Reactivo</x:v>
      </x:c>
      <x:c r="C7" s="26" t="str">
        <x:v>Inverso máximo</x:v>
      </x:c>
      <x:c r="D7" s="26" t="str">
        <x:v>5→1→0</x:v>
      </x:c>
      <x:c r="E7" s="30" t="b">
        <x:v>1</x:v>
      </x:c>
      <x:c r="F7" s="26" t="str">
        <x:v>score_100=0</x:v>
      </x:c>
      <x:c r="G7" s="26" t="str">
        <x:v>R002/R004</x:v>
      </x:c>
      <x:c r="H7" s="26" t="str">
        <x:v>READY</x:v>
      </x:c>
    </x:row>
    <x:row r="8">
      <x:c r="A8" s="26" t="str">
        <x:v>T05</x:v>
      </x:c>
      <x:c r="B8" s="26" t="str">
        <x:v>Reactivo</x:v>
      </x:c>
      <x:c r="C8" s="26" t="str">
        <x:v>N/A</x:v>
      </x:c>
      <x:c r="D8" s="26" t="str">
        <x:v>Exclusión de cálculo</x:v>
      </x:c>
      <x:c r="E8" s="30" t="b">
        <x:v>1</x:v>
      </x:c>
      <x:c r="F8" s="26" t="str">
        <x:v>NULL derivado</x:v>
      </x:c>
      <x:c r="G8" s="26" t="str">
        <x:v>R003</x:v>
      </x:c>
      <x:c r="H8" s="26" t="str">
        <x:v>READY</x:v>
      </x:c>
    </x:row>
    <x:row r="9">
      <x:c r="A9" s="26" t="str">
        <x:v>T06</x:v>
      </x:c>
      <x:c r="B9" s="26" t="str">
        <x:v>Cobertura</x:v>
      </x:c>
      <x:c r="C9" s="26" t="str">
        <x:v>Umbral exacto 60%</x:v>
      </x:c>
      <x:c r="D9" s="26" t="str">
        <x:v>Cobertura mínima válida</x:v>
      </x:c>
      <x:c r="E9" s="30" t="b">
        <x:v>1</x:v>
      </x:c>
      <x:c r="F9" s="26" t="str">
        <x:v>SUFFICIENT</x:v>
      </x:c>
      <x:c r="G9" s="26" t="str">
        <x:v>R005</x:v>
      </x:c>
      <x:c r="H9" s="26" t="str">
        <x:v>READY</x:v>
      </x:c>
    </x:row>
    <x:row r="10">
      <x:c r="A10" s="26" t="str">
        <x:v>T06N</x:v>
      </x:c>
      <x:c r="B10" s="26" t="str">
        <x:v>Cobertura</x:v>
      </x:c>
      <x:c r="C10" s="26" t="str">
        <x:v>N/A fuera del denominador</x:v>
      </x:c>
      <x:c r="D10" s="26" t="str">
        <x:v>N/A no reduce cobertura al tratarse como no aplicable</x:v>
      </x:c>
      <x:c r="E10" s="30" t="b">
        <x:v>1</x:v>
      </x:c>
      <x:c r="F10" s="26" t="str">
        <x:v>6 válidos / 6 aplicables = 100%</x:v>
      </x:c>
      <x:c r="G10" s="26" t="str">
        <x:v>R003/R005</x:v>
      </x:c>
      <x:c r="H10" s="26" t="str">
        <x:v>READY</x:v>
      </x:c>
    </x:row>
    <x:row r="11">
      <x:c r="A11" s="26" t="str">
        <x:v>T07</x:v>
      </x:c>
      <x:c r="B11" s="26" t="str">
        <x:v>Cobertura</x:v>
      </x:c>
      <x:c r="C11" s="26" t="str">
        <x:v>Debajo de 60%</x:v>
      </x:c>
      <x:c r="D11" s="26" t="str">
        <x:v>Evidencia insuficiente</x:v>
      </x:c>
      <x:c r="E11" s="30" t="b">
        <x:v>1</x:v>
      </x:c>
      <x:c r="F11" s="26" t="str">
        <x:v>INSUFFICIENT / ND</x:v>
      </x:c>
      <x:c r="G11" s="26" t="str">
        <x:v>R006</x:v>
      </x:c>
      <x:c r="H11" s="26" t="str">
        <x:v>READY</x:v>
      </x:c>
    </x:row>
    <x:row r="12">
      <x:c r="A12" s="26" t="str">
        <x:v>T08</x:v>
      </x:c>
      <x:c r="B12" s="26" t="str">
        <x:v>PI</x:v>
      </x:c>
      <x:c r="C12" s="26" t="str">
        <x:v>Promedio completo</x:v>
      </x:c>
      <x:c r="D12" s="26" t="str">
        <x:v>Cálculo PI</x:v>
      </x:c>
      <x:c r="E12" s="30" t="b">
        <x:v>1</x:v>
      </x:c>
      <x:c r="F12" s="26" t="str">
        <x:v>PI=50</x:v>
      </x:c>
      <x:c r="G12" s="26" t="str">
        <x:v>R007</x:v>
      </x:c>
      <x:c r="H12" s="26" t="str">
        <x:v>READY</x:v>
      </x:c>
    </x:row>
    <x:row r="13">
      <x:c r="A13" s="26" t="str">
        <x:v>T09</x:v>
      </x:c>
      <x:c r="B13" s="26" t="str">
        <x:v>PI</x:v>
      </x:c>
      <x:c r="C13" s="26" t="str">
        <x:v>PI con N/A</x:v>
      </x:c>
      <x:c r="D13" s="26" t="str">
        <x:v>N/A excluido del promedio</x:v>
      </x:c>
      <x:c r="E13" s="30" t="b">
        <x:v>1</x:v>
      </x:c>
      <x:c r="F13" s="26" t="str">
        <x:v>PI=50</x:v>
      </x:c>
      <x:c r="G13" s="26" t="str">
        <x:v>R003/R007</x:v>
      </x:c>
      <x:c r="H13" s="26" t="str">
        <x:v>READY</x:v>
      </x:c>
    </x:row>
    <x:row r="14">
      <x:c r="A14" s="26" t="str">
        <x:v>T10</x:v>
      </x:c>
      <x:c r="B14" s="26" t="str">
        <x:v>RP</x:v>
      </x:c>
      <x:c r="C14" s="26" t="str">
        <x:v>Promedio de PI</x:v>
      </x:c>
      <x:c r="D14" s="26" t="str">
        <x:v>Cálculo RP</x:v>
      </x:c>
      <x:c r="E14" s="30" t="b">
        <x:v>1</x:v>
      </x:c>
      <x:c r="F14" s="26" t="str">
        <x:v>RP=60</x:v>
      </x:c>
      <x:c r="G14" s="26" t="str">
        <x:v>R008</x:v>
      </x:c>
      <x:c r="H14" s="26" t="str">
        <x:v>READY</x:v>
      </x:c>
    </x:row>
    <x:row r="15">
      <x:c r="A15" s="26" t="str">
        <x:v>T11</x:v>
      </x:c>
      <x:c r="B15" s="26" t="str">
        <x:v>RP</x:v>
      </x:c>
      <x:c r="C15" s="26" t="str">
        <x:v>RP con ND</x:v>
      </x:c>
      <x:c r="D15" s="26" t="str">
        <x:v>ND excluido del promedio</x:v>
      </x:c>
      <x:c r="E15" s="30" t="b">
        <x:v>1</x:v>
      </x:c>
      <x:c r="F15" s="26" t="str">
        <x:v>RP=60</x:v>
      </x:c>
      <x:c r="G15" s="26" t="str">
        <x:v>R008</x:v>
      </x:c>
      <x:c r="H15" s="26" t="str">
        <x:v>READY</x:v>
      </x:c>
    </x:row>
    <x:row r="16">
      <x:c r="A16" s="26" t="str">
        <x:v>T12</x:v>
      </x:c>
      <x:c r="B16" s="26" t="str">
        <x:v>BT</x:v>
      </x:c>
      <x:c r="C16" s="26" t="str">
        <x:v>BT=12</x:v>
      </x:c>
      <x:c r="D16" s="26" t="str">
        <x:v>Frontera alta convergencia</x:v>
      </x:c>
      <x:c r="E16" s="30" t="b">
        <x:v>1</x:v>
      </x:c>
      <x:c r="F16" s="26" t="str">
        <x:v>HIGH_CONVERGENCE</x:v>
      </x:c>
      <x:c r="G16" s="26" t="str">
        <x:v>R009/R010</x:v>
      </x:c>
      <x:c r="H16" s="26" t="str">
        <x:v>READY</x:v>
      </x:c>
    </x:row>
    <x:row r="17">
      <x:c r="A17" s="26" t="str">
        <x:v>T13</x:v>
      </x:c>
      <x:c r="B17" s="26" t="str">
        <x:v>BT</x:v>
      </x:c>
      <x:c r="C17" s="26" t="str">
        <x:v>BT=13</x:v>
      </x:c>
      <x:c r="D17" s="26" t="str">
        <x:v>Frontera diferencia moderada</x:v>
      </x:c>
      <x:c r="E17" s="30" t="b">
        <x:v>1</x:v>
      </x:c>
      <x:c r="F17" s="26" t="str">
        <x:v>MODERATE_DIFFERENCE</x:v>
      </x:c>
      <x:c r="G17" s="26" t="str">
        <x:v>R009/R011</x:v>
      </x:c>
      <x:c r="H17" s="26" t="str">
        <x:v>READY</x:v>
      </x:c>
    </x:row>
    <x:row r="18">
      <x:c r="A18" s="26" t="str">
        <x:v>T14</x:v>
      </x:c>
      <x:c r="B18" s="26" t="str">
        <x:v>BT</x:v>
      </x:c>
      <x:c r="C18" s="26" t="str">
        <x:v>BT=24</x:v>
      </x:c>
      <x:c r="D18" s="26" t="str">
        <x:v>Límite diferencia moderada</x:v>
      </x:c>
      <x:c r="E18" s="30" t="b">
        <x:v>1</x:v>
      </x:c>
      <x:c r="F18" s="26" t="str">
        <x:v>MODERATE_DIFFERENCE</x:v>
      </x:c>
      <x:c r="G18" s="26" t="str">
        <x:v>R011</x:v>
      </x:c>
      <x:c r="H18" s="26" t="str">
        <x:v>READY</x:v>
      </x:c>
    </x:row>
    <x:row r="19">
      <x:c r="A19" s="26" t="str">
        <x:v>T15</x:v>
      </x:c>
      <x:c r="B19" s="26" t="str">
        <x:v>BT</x:v>
      </x:c>
      <x:c r="C19" s="26" t="str">
        <x:v>BT=25</x:v>
      </x:c>
      <x:c r="D19" s="26" t="str">
        <x:v>Frontera brecha relevante</x:v>
      </x:c>
      <x:c r="E19" s="30" t="b">
        <x:v>1</x:v>
      </x:c>
      <x:c r="F19" s="26" t="str">
        <x:v>RELEVANT_GAP</x:v>
      </x:c>
      <x:c r="G19" s="26" t="str">
        <x:v>R012</x:v>
      </x:c>
      <x:c r="H19" s="26" t="str">
        <x:v>READY</x:v>
      </x:c>
    </x:row>
    <x:row r="20">
      <x:c r="A20" s="26" t="str">
        <x:v>T16</x:v>
      </x:c>
      <x:c r="B20" s="26" t="str">
        <x:v>BT</x:v>
      </x:c>
      <x:c r="C20" s="26" t="str">
        <x:v>BT=37</x:v>
      </x:c>
      <x:c r="D20" s="26" t="str">
        <x:v>Límite brecha relevante</x:v>
      </x:c>
      <x:c r="E20" s="30" t="b">
        <x:v>1</x:v>
      </x:c>
      <x:c r="F20" s="26" t="str">
        <x:v>RELEVANT_GAP</x:v>
      </x:c>
      <x:c r="G20" s="26" t="str">
        <x:v>R012</x:v>
      </x:c>
      <x:c r="H20" s="26" t="str">
        <x:v>READY</x:v>
      </x:c>
    </x:row>
    <x:row r="21">
      <x:c r="A21" s="26" t="str">
        <x:v>T17</x:v>
      </x:c>
      <x:c r="B21" s="26" t="str">
        <x:v>BT</x:v>
      </x:c>
      <x:c r="C21" s="26" t="str">
        <x:v>BT=38</x:v>
      </x:c>
      <x:c r="D21" s="26" t="str">
        <x:v>Frontera brecha crítica</x:v>
      </x:c>
      <x:c r="E21" s="30" t="b">
        <x:v>1</x:v>
      </x:c>
      <x:c r="F21" s="26" t="str">
        <x:v>CRITICAL_GAP</x:v>
      </x:c>
      <x:c r="G21" s="26" t="str">
        <x:v>R013</x:v>
      </x:c>
      <x:c r="H21" s="26" t="str">
        <x:v>READY</x:v>
      </x:c>
    </x:row>
    <x:row r="22">
      <x:c r="A22" s="26" t="str">
        <x:v>T18</x:v>
      </x:c>
      <x:c r="B22" s="26" t="str">
        <x:v>RI</x:v>
      </x:c>
      <x:c r="C22" s="26" t="str">
        <x:v>Pesos iguales</x:v>
      </x:c>
      <x:c r="D22" s="26" t="str">
        <x:v>No ponderar por tamaño de muestra</x:v>
      </x:c>
      <x:c r="E22" s="30" t="b">
        <x:v>1</x:v>
      </x:c>
      <x:c r="F22" s="26" t="str">
        <x:v>RI=75</x:v>
      </x:c>
      <x:c r="G22" s="26" t="str">
        <x:v>R014/R018</x:v>
      </x:c>
      <x:c r="H22" s="26" t="str">
        <x:v>READY</x:v>
      </x:c>
    </x:row>
    <x:row r="23">
      <x:c r="A23" s="26" t="str">
        <x:v>T19</x:v>
      </x:c>
      <x:c r="B23" s="26" t="str">
        <x:v>RI</x:v>
      </x:c>
      <x:c r="C23" s="26" t="str">
        <x:v>Una sola perspectiva</x:v>
      </x:c>
      <x:c r="D23" s="26" t="str">
        <x:v>Integración limitada</x:v>
      </x:c>
      <x:c r="E23" s="30" t="b">
        <x:v>1</x:v>
      </x:c>
      <x:c r="F23" s="26" t="str">
        <x:v>LIMITED</x:v>
      </x:c>
      <x:c r="G23" s="26" t="str">
        <x:v>R015</x:v>
      </x:c>
      <x:c r="H23" s="26" t="str">
        <x:v>READY</x:v>
      </x:c>
    </x:row>
    <x:row r="24">
      <x:c r="A24" s="26" t="str">
        <x:v>T20</x:v>
      </x:c>
      <x:c r="B24" s="26" t="str">
        <x:v>Global</x:v>
      </x:c>
      <x:c r="C24" s="26" t="str">
        <x:v>IEO Global completo</x:v>
      </x:c>
      <x:c r="D24" s="26" t="str">
        <x:v>Promedio + nivel + semáforo</x:v>
      </x:c>
      <x:c r="E24" s="30" t="b">
        <x:v>1</x:v>
      </x:c>
      <x:c r="F24" s="26" t="str">
        <x:v>77.5 / Estable con riesgos / Amarillo</x:v>
      </x:c>
      <x:c r="G24" s="26" t="str">
        <x:v>R016</x:v>
      </x:c>
      <x:c r="H24" s="26" t="str">
        <x:v>READY</x:v>
      </x:c>
    </x:row>
    <x:row r="25">
      <x:c r="A25" s="26" t="str">
        <x:v>T21</x:v>
      </x:c>
      <x:c r="B25" s="26" t="str">
        <x:v>Precisión</x:v>
      </x:c>
      <x:c r="C25" s="26" t="str">
        <x:v>Sin redondeo intermedio</x:v>
      </x:c>
      <x:c r="D25" s="26" t="str">
        <x:v>Precisión completa</x:v>
      </x:c>
      <x:c r="E25" s="30" t="b">
        <x:v>1</x:v>
      </x:c>
      <x:c r="F25" s="26" t="str">
        <x:v>No redondear etapas previas</x:v>
      </x:c>
      <x:c r="G25" s="26" t="str">
        <x:v>R017</x:v>
      </x:c>
      <x:c r="H25" s="26" t="str">
        <x:v>READY</x:v>
      </x:c>
    </x:row>
    <x:row r="26">
      <x:c r="A26" s="26" t="str">
        <x:v>T22</x:v>
      </x:c>
      <x:c r="B26" s="26" t="str">
        <x:v>End-to-End</x:v>
      </x:c>
      <x:c r="C26" s="26" t="str">
        <x:v>Triangulación de un Elemento</x:v>
      </x:c>
      <x:c r="D26" s="26" t="str">
        <x:v>PI→RP→BT→RI</x:v>
      </x:c>
      <x:c r="E26" s="30" t="b">
        <x:v>1</x:v>
      </x:c>
      <x:c r="F26" s="26" t="str">
        <x:v>RI=78; BT=30; RELEVANT_GAP</x:v>
      </x:c>
      <x:c r="G26" s="26" t="str">
        <x:v>R007-R015</x:v>
      </x:c>
      <x:c r="H26" s="26" t="str">
        <x:v>READY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b45541a7a84a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22" hidden="0" customWidth="1"/>
    <x:col min="10" max="10" width="12" hidden="0" customWidth="1"/>
  </x:cols>
  <x:sheetData>
    <x:row r="1">
      <x:c r="A1" s="46" t="str">
        <x:v>CASOS UNITARIOS: REACTIVOS, INVERSOS Y N/A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raw_response</x:v>
      </x:c>
      <x:c r="C3" s="20" t="str">
        <x:v>orientation</x:v>
      </x:c>
      <x:c r="D3" s="20" t="str">
        <x:v>na_allowed</x:v>
      </x:c>
      <x:c r="E3" s="20" t="str">
        <x:v>expected_recoded</x:v>
      </x:c>
      <x:c r="F3" s="20" t="str">
        <x:v>expected_score_100</x:v>
      </x:c>
      <x:c r="G3" s="20" t="str">
        <x:v>expected_is_na</x:v>
      </x:c>
      <x:c r="H3" s="20" t="str">
        <x:v>expected_status</x:v>
      </x:c>
      <x:c r="I3" s="20" t="str">
        <x:v>platform_score_100</x:v>
      </x:c>
      <x:c r="J3" s="20" t="str">
        <x:v>pass_fail</x:v>
      </x:c>
    </x:row>
    <x:row r="4">
      <x:c r="A4" t="str">
        <x:v>T01</x:v>
      </x:c>
      <x:c r="B4" t="n">
        <x:v>1</x:v>
      </x:c>
      <x:c r="C4" t="str">
        <x:v>DIRECT</x:v>
      </x:c>
      <x:c r="D4" s="28" t="b">
        <x:v>1</x:v>
      </x:c>
      <x:c r="E4" t="n">
        <x:v>1</x:v>
      </x:c>
      <x:c r="F4" t="n">
        <x:v>0</x:v>
      </x:c>
      <x:c r="G4" s="28" t="b">
        <x:v>0</x:v>
      </x:c>
      <x:c r="H4" t="str">
        <x:v>VALID</x:v>
      </x:c>
      <x:c r="I4"/>
      <x:c r="J4" t="str">
        <x:f>IF(I4="","",IF(OR(AND(F4="",I4=""),I4=F4),"PASS","FAIL"))</x:f>
      </x:c>
    </x:row>
    <x:row r="5">
      <x:c r="A5" t="str">
        <x:v>T02</x:v>
      </x:c>
      <x:c r="B5" t="n">
        <x:v>5</x:v>
      </x:c>
      <x:c r="C5" t="str">
        <x:v>DIRECT</x:v>
      </x:c>
      <x:c r="D5" s="28" t="b">
        <x:v>1</x:v>
      </x:c>
      <x:c r="E5" t="n">
        <x:v>5</x:v>
      </x:c>
      <x:c r="F5" t="n">
        <x:v>100</x:v>
      </x:c>
      <x:c r="G5" s="28" t="b">
        <x:v>0</x:v>
      </x:c>
      <x:c r="H5" t="str">
        <x:v>VALID</x:v>
      </x:c>
      <x:c r="I5"/>
      <x:c r="J5" t="str">
        <x:f>IF(I5="","",IF(OR(AND(F5="",I5=""),I5=F5),"PASS","FAIL"))</x:f>
      </x:c>
    </x:row>
    <x:row r="6">
      <x:c r="A6" t="str">
        <x:v>T03</x:v>
      </x:c>
      <x:c r="B6" t="n">
        <x:v>1</x:v>
      </x:c>
      <x:c r="C6" t="str">
        <x:v>REVERSE</x:v>
      </x:c>
      <x:c r="D6" s="28" t="b">
        <x:v>1</x:v>
      </x:c>
      <x:c r="E6" t="n">
        <x:v>5</x:v>
      </x:c>
      <x:c r="F6" t="n">
        <x:v>100</x:v>
      </x:c>
      <x:c r="G6" s="28" t="b">
        <x:v>0</x:v>
      </x:c>
      <x:c r="H6" t="str">
        <x:v>VALID</x:v>
      </x:c>
      <x:c r="I6"/>
      <x:c r="J6" t="str">
        <x:f>IF(I6="","",IF(OR(AND(F6="",I6=""),I6=F6),"PASS","FAIL"))</x:f>
      </x:c>
    </x:row>
    <x:row r="7">
      <x:c r="A7" t="str">
        <x:v>T04</x:v>
      </x:c>
      <x:c r="B7" t="n">
        <x:v>5</x:v>
      </x:c>
      <x:c r="C7" t="str">
        <x:v>REVERSE</x:v>
      </x:c>
      <x:c r="D7" s="28" t="b">
        <x:v>1</x:v>
      </x:c>
      <x:c r="E7" t="n">
        <x:v>1</x:v>
      </x:c>
      <x:c r="F7" t="n">
        <x:v>0</x:v>
      </x:c>
      <x:c r="G7" s="28" t="b">
        <x:v>0</x:v>
      </x:c>
      <x:c r="H7" t="str">
        <x:v>VALID</x:v>
      </x:c>
      <x:c r="I7"/>
      <x:c r="J7" t="str">
        <x:f>IF(I7="","",IF(OR(AND(F7="",I7=""),I7=F7),"PASS","FAIL"))</x:f>
      </x:c>
    </x:row>
    <x:row r="8">
      <x:c r="A8" t="str">
        <x:v>T05</x:v>
      </x:c>
      <x:c r="B8" t="str">
        <x:v>NA</x:v>
      </x:c>
      <x:c r="C8" t="str">
        <x:v>DIRECT</x:v>
      </x:c>
      <x:c r="D8" s="28" t="b">
        <x:v>1</x:v>
      </x:c>
      <x:c r="E8"/>
      <x:c r="F8"/>
      <x:c r="G8" s="28" t="b">
        <x:v>1</x:v>
      </x:c>
      <x:c r="H8" t="str">
        <x:v>EXCLUDED</x:v>
      </x:c>
      <x:c r="I8"/>
      <x:c r="J8" t="str">
        <x:f>IF(I8="","",IF(OR(AND(F8="",I8=""),I8=F8),"PASS","FAIL"))</x:f>
      </x:c>
    </x:row>
  </x:sheetData>
  <x:mergeCells>
    <x:mergeCell ref="A1:J1"/>
  </x:mergeCells>
  <x:conditionalFormatting sqref="J4:J8">
    <x:cfRule type="expression" dxfId="0" priority="1">
      <x:formula>J4="PASS"</x:formula>
    </x:cfRule>
    <x:cfRule type="expression" dxfId="1" priority="2">
      <x:formula>J4="FAIL"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b80f1fc8c94a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2" hidden="0" customWidth="1"/>
    <x:col min="5" max="5" width="14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12" hidden="0" customWidth="1"/>
  </x:cols>
  <x:sheetData>
    <x:row r="1">
      <x:c r="A1" s="46" t="str">
        <x:v>CASOS UNITARIOS: COBERTURA Y REGLA DEL 60%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total_items_element</x:v>
      </x:c>
      <x:c r="C3" s="20" t="str">
        <x:v>valid_items</x:v>
      </x:c>
      <x:c r="D3" s="20" t="str">
        <x:v>na_items</x:v>
      </x:c>
      <x:c r="E3" s="20" t="str">
        <x:v>missing_items</x:v>
      </x:c>
      <x:c r="F3" s="20" t="str">
        <x:v>applicable_items</x:v>
      </x:c>
      <x:c r="G3" s="20" t="str">
        <x:v>expected_coverage</x:v>
      </x:c>
      <x:c r="H3" s="20" t="str">
        <x:v>expected_status</x:v>
      </x:c>
      <x:c r="I3" s="20" t="str">
        <x:v>expected_PI_status</x:v>
      </x:c>
      <x:c r="J3" s="20" t="str">
        <x:v>platform_status</x:v>
      </x:c>
      <x:c r="K3" s="20" t="str">
        <x:v>pass_fail</x:v>
      </x:c>
    </x:row>
    <x:row r="4">
      <x:c r="A4" t="str">
        <x:v>T06</x:v>
      </x:c>
      <x:c r="B4" t="n">
        <x:v>10</x:v>
      </x:c>
      <x:c r="C4" t="n">
        <x:v>6</x:v>
      </x:c>
      <x:c r="D4" t="n">
        <x:v>0</x:v>
      </x:c>
      <x:c r="E4" s="32" t="n">
        <x:v>4</x:v>
      </x:c>
      <x:c r="F4" s="34" t="n">
        <x:f>B4-D4</x:f>
        <x:v>10</x:v>
      </x:c>
      <x:c r="G4" s="52" t="n">
        <x:f>IF(F4=0,"",C4/F4)</x:f>
        <x:v>0.6</x:v>
      </x:c>
      <x:c r="H4" t="str">
        <x:v>SUFFICIENT</x:v>
      </x:c>
      <x:c r="I4" t="str">
        <x:v>VALID</x:v>
      </x:c>
      <x:c r="J4"/>
      <x:c r="K4" t="str">
        <x:f>IF(J4="","",IF(J4=H4,"PASS","FAIL"))</x:f>
      </x:c>
    </x:row>
    <x:row r="5">
      <x:c r="A5" t="str">
        <x:v>T06N</x:v>
      </x:c>
      <x:c r="B5" t="n">
        <x:v>10</x:v>
      </x:c>
      <x:c r="C5" t="n">
        <x:v>6</x:v>
      </x:c>
      <x:c r="D5" t="n">
        <x:v>4</x:v>
      </x:c>
      <x:c r="E5" s="32" t="n">
        <x:v>0</x:v>
      </x:c>
      <x:c r="F5" s="34" t="n">
        <x:f>B5-D5</x:f>
        <x:v>6</x:v>
      </x:c>
      <x:c r="G5" s="52" t="n">
        <x:f>IF(F5=0,"",C5/F5)</x:f>
        <x:v>1</x:v>
      </x:c>
      <x:c r="H5" t="str">
        <x:v>SUFFICIENT</x:v>
      </x:c>
      <x:c r="I5" t="str">
        <x:v>VALID</x:v>
      </x:c>
      <x:c r="J5"/>
      <x:c r="K5" t="str">
        <x:f>IF(J5="","",IF(J5=H5,"PASS","FAIL"))</x:f>
      </x:c>
    </x:row>
    <x:row r="6">
      <x:c r="A6" t="str">
        <x:v>T07</x:v>
      </x:c>
      <x:c r="B6" t="n">
        <x:v>10</x:v>
      </x:c>
      <x:c r="C6" t="n">
        <x:v>5</x:v>
      </x:c>
      <x:c r="D6" t="n">
        <x:v>0</x:v>
      </x:c>
      <x:c r="E6" t="n">
        <x:v>5</x:v>
      </x:c>
      <x:c r="F6" t="n">
        <x:f>B6-D6</x:f>
        <x:v>10</x:v>
      </x:c>
      <x:c r="G6" s="52" t="n">
        <x:f>IF(F6=0,"",C6/F6)</x:f>
        <x:v>0.5</x:v>
      </x:c>
      <x:c r="H6" t="str">
        <x:v>INSUFFICIENT</x:v>
      </x:c>
      <x:c r="I6" t="str">
        <x:v>ND</x:v>
      </x:c>
      <x:c r="J6"/>
      <x:c r="K6" t="str">
        <x:f>IF(J6="","",IF(J6=H6,"PASS","FAIL"))</x:f>
      </x:c>
    </x:row>
    <x:row r="8">
      <x:c r="A8" s="38" t="str">
        <x:v>Regla: applicable_items = total_items_element − na_items. Los reactivos N/A no forman parte del denominador; los reactivos omitidos/missing sí afectan la cobertura.</x:v>
      </x:c>
      <x:c r="B8" s="38"/>
      <x:c r="C8" s="38"/>
      <x:c r="D8" s="38"/>
      <x:c r="E8" s="38"/>
      <x:c r="F8" s="38"/>
      <x:c r="G8" s="38"/>
      <x:c r="H8" s="38"/>
      <x:c r="I8" s="38"/>
      <x:c r="J8" s="38"/>
      <x:c r="K8" s="38"/>
    </x:row>
  </x:sheetData>
  <x:mergeCells>
    <x:mergeCell ref="A1:J1"/>
    <x:mergeCell ref="A8:K8"/>
  </x:mergeCells>
  <x:conditionalFormatting sqref="J4:J5">
    <x:cfRule type="expression" dxfId="2" priority="1">
      <x:formula>J4="PASS"</x:formula>
    </x:cfRule>
    <x:cfRule type="expression" dxfId="3" priority="2">
      <x:formula>J4="FAIL"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8dcca33d1d42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2" hidden="0" customWidth="1"/>
  </x:cols>
  <x:sheetData>
    <x:row r="1">
      <x:c r="A1" s="46" t="str">
        <x:v>CASOS UNITARIOS: PUNTUACIÓN INDIVIDUAL POR ELEMENTO (PI)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score1</x:v>
      </x:c>
      <x:c r="C3" s="20" t="str">
        <x:v>score2</x:v>
      </x:c>
      <x:c r="D3" s="20" t="str">
        <x:v>score3</x:v>
      </x:c>
      <x:c r="E3" s="20" t="str">
        <x:v>score4</x:v>
      </x:c>
      <x:c r="F3" s="20" t="str">
        <x:v>score5</x:v>
      </x:c>
      <x:c r="G3" s="20" t="str">
        <x:v>valid_count</x:v>
      </x:c>
      <x:c r="H3" s="20" t="str">
        <x:v>expected_PI</x:v>
      </x:c>
      <x:c r="I3" s="20" t="str">
        <x:v>expected_status</x:v>
      </x:c>
      <x:c r="J3" s="20" t="str">
        <x:v>platform_PI</x:v>
      </x:c>
      <x:c r="K3" s="20" t="str">
        <x:v>platform_status</x:v>
      </x:c>
      <x:c r="L3" s="20" t="str">
        <x:v>pass_fail</x:v>
      </x:c>
    </x:row>
    <x:row r="4">
      <x:c r="A4" t="str">
        <x:v>T08</x:v>
      </x:c>
      <x:c r="B4" t="n">
        <x:v>0</x:v>
      </x:c>
      <x:c r="C4" t="n">
        <x:v>25</x:v>
      </x:c>
      <x:c r="D4" t="n">
        <x:v>50</x:v>
      </x:c>
      <x:c r="E4" t="n">
        <x:v>75</x:v>
      </x:c>
      <x:c r="F4" t="n">
        <x:v>100</x:v>
      </x:c>
      <x:c r="G4" t="n">
        <x:f>COUNT(B4:F4)</x:f>
        <x:v>5</x:v>
      </x:c>
      <x:c r="H4" t="n">
        <x:f>AVERAGE(B4:F4)</x:f>
        <x:v>50</x:v>
      </x:c>
      <x:c r="I4" t="str">
        <x:v>VALID</x:v>
      </x:c>
      <x:c r="J4"/>
      <x:c r="K4"/>
      <x:c r="L4" t="str">
        <x:f>IF(OR(J4="",K4=""),"",IF(AND(ABS(J4-H4)&lt;0.000001,K4=I4),"PASS","FAIL"))</x:f>
      </x:c>
    </x:row>
    <x:row r="5">
      <x:c r="A5" t="str">
        <x:v>T09</x:v>
      </x:c>
      <x:c r="B5" t="n">
        <x:v>0</x:v>
      </x:c>
      <x:c r="C5" t="n">
        <x:v>25</x:v>
      </x:c>
      <x:c r="D5"/>
      <x:c r="E5" t="n">
        <x:v>75</x:v>
      </x:c>
      <x:c r="F5" t="n">
        <x:v>100</x:v>
      </x:c>
      <x:c r="G5" t="n">
        <x:f>COUNT(B5:F5)</x:f>
        <x:v>4</x:v>
      </x:c>
      <x:c r="H5" t="n">
        <x:f>AVERAGE(B5:F5)</x:f>
        <x:v>50</x:v>
      </x:c>
      <x:c r="I5" t="str">
        <x:v>VALID</x:v>
      </x:c>
      <x:c r="J5"/>
      <x:c r="K5"/>
      <x:c r="L5" t="str">
        <x:f>IF(OR(J5="",K5=""),"",IF(AND(ABS(J5-H5)&lt;0.000001,K5=I5),"PASS","FAIL"))</x:f>
      </x:c>
    </x:row>
  </x:sheetData>
  <x:mergeCells>
    <x:mergeCell ref="A1:L1"/>
  </x:mergeCells>
  <x:conditionalFormatting sqref="L4:L5">
    <x:cfRule type="expression" dxfId="4" priority="1">
      <x:formula>L4="PASS"</x:formula>
    </x:cfRule>
    <x:cfRule type="expression" dxfId="5" priority="2">
      <x:formula>L4="FAIL"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2308a25fa242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12" hidden="0" customWidth="1"/>
  </x:cols>
  <x:sheetData>
    <x:row r="1">
      <x:c r="A1" s="46" t="str">
        <x:v>CASOS UNITARIOS: RESULTADO POR PERSPECTIVA (RP)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PI_1</x:v>
      </x:c>
      <x:c r="C3" s="20" t="str">
        <x:v>PI_2</x:v>
      </x:c>
      <x:c r="D3" s="20" t="str">
        <x:v>PI_3</x:v>
      </x:c>
      <x:c r="E3" s="20" t="str">
        <x:v>PI_4</x:v>
      </x:c>
      <x:c r="F3" s="20" t="str">
        <x:v>valid_pi_count</x:v>
      </x:c>
      <x:c r="G3" s="20" t="str">
        <x:v>expected_RP</x:v>
      </x:c>
      <x:c r="H3" s="20" t="str">
        <x:v>expected_status</x:v>
      </x:c>
      <x:c r="I3" s="20" t="str">
        <x:v>platform_RP</x:v>
      </x:c>
      <x:c r="J3" s="20" t="str">
        <x:v>platform_status</x:v>
      </x:c>
      <x:c r="K3" s="20" t="str">
        <x:v>pass_fail</x:v>
      </x:c>
    </x:row>
    <x:row r="4">
      <x:c r="A4" t="str">
        <x:v>T10</x:v>
      </x:c>
      <x:c r="B4" t="n">
        <x:v>40</x:v>
      </x:c>
      <x:c r="C4" t="n">
        <x:v>60</x:v>
      </x:c>
      <x:c r="D4" t="n">
        <x:v>80</x:v>
      </x:c>
      <x:c r="E4"/>
      <x:c r="F4" t="n">
        <x:f>COUNT(B4:E4)</x:f>
        <x:v>3</x:v>
      </x:c>
      <x:c r="G4" t="n">
        <x:f>AVERAGE(B4:E4)</x:f>
        <x:v>60</x:v>
      </x:c>
      <x:c r="H4" t="str">
        <x:v>VALID</x:v>
      </x:c>
      <x:c r="I4"/>
      <x:c r="J4"/>
      <x:c r="K4" t="str">
        <x:f>IF(OR(I4="",J4=""),"",IF(AND(ABS(I4-G4)&lt;0.000001,J4=H4),"PASS","FAIL"))</x:f>
      </x:c>
    </x:row>
    <x:row r="5">
      <x:c r="A5" t="str">
        <x:v>T11</x:v>
      </x:c>
      <x:c r="B5" t="n">
        <x:v>40</x:v>
      </x:c>
      <x:c r="C5"/>
      <x:c r="D5" t="n">
        <x:v>80</x:v>
      </x:c>
      <x:c r="E5"/>
      <x:c r="F5" t="n">
        <x:f>COUNT(B5:E5)</x:f>
        <x:v>2</x:v>
      </x:c>
      <x:c r="G5" t="n">
        <x:f>AVERAGE(B5:E5)</x:f>
        <x:v>60</x:v>
      </x:c>
      <x:c r="H5" t="str">
        <x:v>VALID</x:v>
      </x:c>
      <x:c r="I5"/>
      <x:c r="J5"/>
      <x:c r="K5" t="str">
        <x:f>IF(OR(I5="",J5=""),"",IF(AND(ABS(I5-G5)&lt;0.000001,J5=H5),"PASS","FAIL"))</x:f>
      </x:c>
    </x:row>
  </x:sheetData>
  <x:mergeCells>
    <x:mergeCell ref="A1:K1"/>
  </x:mergeCells>
  <x:conditionalFormatting sqref="K4:K5">
    <x:cfRule type="expression" dxfId="6" priority="1">
      <x:formula>K4="PASS"</x:formula>
    </x:cfRule>
    <x:cfRule type="expression" dxfId="7" priority="2">
      <x:formula>K4="FAIL"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a5367f05364c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28" hidden="0" customWidth="1"/>
    <x:col min="6" max="6" width="16" hidden="0" customWidth="1"/>
    <x:col min="7" max="7" width="28" hidden="0" customWidth="1"/>
    <x:col min="8" max="8" width="18" hidden="0" customWidth="1"/>
    <x:col min="9" max="9" width="18" hidden="0" customWidth="1"/>
    <x:col min="10" max="10" width="12" hidden="0" customWidth="1"/>
  </x:cols>
  <x:sheetData>
    <x:row r="1">
      <x:c r="A1" s="46" t="str">
        <x:v>CASOS DE FRONTERA: BRECHA DE TRIANGULACIÓN (BT)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rp_min</x:v>
      </x:c>
      <x:c r="C3" s="20" t="str">
        <x:v>rp_max</x:v>
      </x:c>
      <x:c r="D3" s="20" t="str">
        <x:v>expected_BT</x:v>
      </x:c>
      <x:c r="E3" s="20" t="str">
        <x:v>expected_class</x:v>
      </x:c>
      <x:c r="F3" s="20" t="str">
        <x:v>platform_BT</x:v>
      </x:c>
      <x:c r="G3" s="20" t="str">
        <x:v>platform_class</x:v>
      </x:c>
      <x:c r="H3" s="20" t="str">
        <x:v>max_perspective</x:v>
      </x:c>
      <x:c r="I3" s="20" t="str">
        <x:v>min_perspective</x:v>
      </x:c>
      <x:c r="J3" s="20" t="str">
        <x:v>pass_fail</x:v>
      </x:c>
    </x:row>
    <x:row r="4">
      <x:c r="A4" t="str">
        <x:v>T12</x:v>
      </x:c>
      <x:c r="B4" t="n">
        <x:v>70</x:v>
      </x:c>
      <x:c r="C4" t="n">
        <x:v>82</x:v>
      </x:c>
      <x:c r="D4" t="n">
        <x:f>C4-B4</x:f>
        <x:v>12</x:v>
      </x:c>
      <x:c r="E4" t="str">
        <x:v>HIGH_CONVERGENCE</x:v>
      </x:c>
      <x:c r="F4"/>
      <x:c r="G4"/>
      <x:c r="H4" t="str">
        <x:v>ESP</x:v>
      </x:c>
      <x:c r="I4" t="str">
        <x:v>COL</x:v>
      </x:c>
      <x:c r="J4" t="str">
        <x:f>IF(OR(F4="",G4=""),"",IF(AND(ABS(F4-D4)&lt;0.000001,G4=E4),"PASS","FAIL"))</x:f>
      </x:c>
    </x:row>
    <x:row r="5">
      <x:c r="A5" t="str">
        <x:v>T13</x:v>
      </x:c>
      <x:c r="B5" t="n">
        <x:v>70</x:v>
      </x:c>
      <x:c r="C5" t="n">
        <x:v>83</x:v>
      </x:c>
      <x:c r="D5" t="n">
        <x:f>C5-B5</x:f>
        <x:v>13</x:v>
      </x:c>
      <x:c r="E5" t="str">
        <x:v>MODERATE_DIFFERENCE</x:v>
      </x:c>
      <x:c r="F5"/>
      <x:c r="G5"/>
      <x:c r="H5" t="str">
        <x:v>ESP</x:v>
      </x:c>
      <x:c r="I5" t="str">
        <x:v>COL</x:v>
      </x:c>
      <x:c r="J5" t="str">
        <x:f>IF(OR(F5="",G5=""),"",IF(AND(ABS(F5-D5)&lt;0.000001,G5=E5),"PASS","FAIL"))</x:f>
      </x:c>
    </x:row>
    <x:row r="6">
      <x:c r="A6" t="str">
        <x:v>T14</x:v>
      </x:c>
      <x:c r="B6" t="n">
        <x:v>60</x:v>
      </x:c>
      <x:c r="C6" t="n">
        <x:v>84</x:v>
      </x:c>
      <x:c r="D6" t="n">
        <x:f>C6-B6</x:f>
        <x:v>24</x:v>
      </x:c>
      <x:c r="E6" t="str">
        <x:v>MODERATE_DIFFERENCE</x:v>
      </x:c>
      <x:c r="F6"/>
      <x:c r="G6"/>
      <x:c r="H6" t="str">
        <x:v>DIR</x:v>
      </x:c>
      <x:c r="I6" t="str">
        <x:v>COL</x:v>
      </x:c>
      <x:c r="J6" t="str">
        <x:f>IF(OR(F6="",G6=""),"",IF(AND(ABS(F6-D6)&lt;0.000001,G6=E6),"PASS","FAIL"))</x:f>
      </x:c>
    </x:row>
    <x:row r="7">
      <x:c r="A7" t="str">
        <x:v>T15</x:v>
      </x:c>
      <x:c r="B7" t="n">
        <x:v>60</x:v>
      </x:c>
      <x:c r="C7" t="n">
        <x:v>85</x:v>
      </x:c>
      <x:c r="D7" t="n">
        <x:f>C7-B7</x:f>
        <x:v>25</x:v>
      </x:c>
      <x:c r="E7" t="str">
        <x:v>RELEVANT_GAP</x:v>
      </x:c>
      <x:c r="F7"/>
      <x:c r="G7"/>
      <x:c r="H7" t="str">
        <x:v>DIR</x:v>
      </x:c>
      <x:c r="I7" t="str">
        <x:v>COL</x:v>
      </x:c>
      <x:c r="J7" t="str">
        <x:f>IF(OR(F7="",G7=""),"",IF(AND(ABS(F7-D7)&lt;0.000001,G7=E7),"PASS","FAIL"))</x:f>
      </x:c>
    </x:row>
    <x:row r="8">
      <x:c r="A8" t="str">
        <x:v>T16</x:v>
      </x:c>
      <x:c r="B8" t="n">
        <x:v>50</x:v>
      </x:c>
      <x:c r="C8" t="n">
        <x:v>87</x:v>
      </x:c>
      <x:c r="D8" t="n">
        <x:f>C8-B8</x:f>
        <x:v>37</x:v>
      </x:c>
      <x:c r="E8" t="str">
        <x:v>RELEVANT_GAP</x:v>
      </x:c>
      <x:c r="F8"/>
      <x:c r="G8"/>
      <x:c r="H8" t="str">
        <x:v>DIR</x:v>
      </x:c>
      <x:c r="I8" t="str">
        <x:v>COL</x:v>
      </x:c>
      <x:c r="J8" t="str">
        <x:f>IF(OR(F8="",G8=""),"",IF(AND(ABS(F8-D8)&lt;0.000001,G8=E8),"PASS","FAIL"))</x:f>
      </x:c>
    </x:row>
    <x:row r="9">
      <x:c r="A9" t="str">
        <x:v>T17</x:v>
      </x:c>
      <x:c r="B9" t="n">
        <x:v>50</x:v>
      </x:c>
      <x:c r="C9" t="n">
        <x:v>88</x:v>
      </x:c>
      <x:c r="D9" t="n">
        <x:f>C9-B9</x:f>
        <x:v>38</x:v>
      </x:c>
      <x:c r="E9" t="str">
        <x:v>CRITICAL_GAP</x:v>
      </x:c>
      <x:c r="F9"/>
      <x:c r="G9"/>
      <x:c r="H9" t="str">
        <x:v>DIR</x:v>
      </x:c>
      <x:c r="I9" t="str">
        <x:v>COL</x:v>
      </x:c>
      <x:c r="J9" t="str">
        <x:f>IF(OR(F9="",G9=""),"",IF(AND(ABS(F9-D9)&lt;0.000001,G9=E9),"PASS","FAIL"))</x:f>
      </x:c>
    </x:row>
  </x:sheetData>
  <x:mergeCells>
    <x:mergeCell ref="A1:J1"/>
  </x:mergeCells>
  <x:conditionalFormatting sqref="J4:J9">
    <x:cfRule type="expression" dxfId="8" priority="1">
      <x:formula>J4="PASS"</x:formula>
    </x:cfRule>
    <x:cfRule type="expression" dxfId="9" priority="2">
      <x:formula>J4="FAIL"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bfa6a9360643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6" hidden="0" customWidth="1"/>
    <x:col min="13" max="13" width="12" hidden="0" customWidth="1"/>
  </x:cols>
  <x:sheetData>
    <x:row r="1">
      <x:c r="A1" s="46" t="str">
        <x:v>CASOS UNITARIOS: RESULTADO INTEGRADO (RI)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DIR_RP</x:v>
      </x:c>
      <x:c r="C3" s="20" t="str">
        <x:v>DIR_n</x:v>
      </x:c>
      <x:c r="D3" s="20" t="str">
        <x:v>COL_RP</x:v>
      </x:c>
      <x:c r="E3" s="20" t="str">
        <x:v>COL_n</x:v>
      </x:c>
      <x:c r="F3" s="20" t="str">
        <x:v>ESP_RP</x:v>
      </x:c>
      <x:c r="G3" s="20" t="str">
        <x:v>LID_RP</x:v>
      </x:c>
      <x:c r="H3" s="20" t="str">
        <x:v>CLI_RP</x:v>
      </x:c>
      <x:c r="I3" s="20" t="str">
        <x:v>valid_perspectives</x:v>
      </x:c>
      <x:c r="J3" s="20" t="str">
        <x:v>expected_RI</x:v>
      </x:c>
      <x:c r="K3" s="20" t="str">
        <x:v>expected_status</x:v>
      </x:c>
      <x:c r="L3" s="20" t="str">
        <x:v>platform_RI</x:v>
      </x:c>
      <x:c r="M3" s="20" t="str">
        <x:v>pass_fail</x:v>
      </x:c>
    </x:row>
    <x:row r="4">
      <x:c r="A4" t="str">
        <x:v>T18</x:v>
      </x:c>
      <x:c r="B4" t="n">
        <x:v>90</x:v>
      </x:c>
      <x:c r="C4" t="n">
        <x:v>2</x:v>
      </x:c>
      <x:c r="D4" t="n">
        <x:v>60</x:v>
      </x:c>
      <x:c r="E4" t="n">
        <x:v>100</x:v>
      </x:c>
      <x:c r="F4"/>
      <x:c r="G4"/>
      <x:c r="H4"/>
      <x:c r="I4" t="n">
        <x:f>COUNT(B4,D4,F4:H4)</x:f>
        <x:v>2</x:v>
      </x:c>
      <x:c r="J4" t="n">
        <x:f>AVERAGE(B4,D4,F4:H4)</x:f>
        <x:v>75</x:v>
      </x:c>
      <x:c r="K4" t="str">
        <x:v>INTEGRATED</x:v>
      </x:c>
      <x:c r="L4"/>
      <x:c r="M4" t="str">
        <x:f>IF(L4="","",IF(ABS(L4-J4)&lt;0.000001,"PASS","FAIL"))</x:f>
      </x:c>
    </x:row>
    <x:row r="5">
      <x:c r="A5" t="str">
        <x:v>T19</x:v>
      </x:c>
      <x:c r="B5" t="n">
        <x:v>80</x:v>
      </x:c>
      <x:c r="C5" t="n">
        <x:v>10</x:v>
      </x:c>
      <x:c r="D5"/>
      <x:c r="E5"/>
      <x:c r="F5"/>
      <x:c r="G5"/>
      <x:c r="H5"/>
      <x:c r="I5" t="n">
        <x:f>COUNT(B5,D5,F5:H5)</x:f>
        <x:v>1</x:v>
      </x:c>
      <x:c r="J5" t="n">
        <x:f>AVERAGE(B5,D5,F5:H5)</x:f>
        <x:v>80</x:v>
      </x:c>
      <x:c r="K5" t="str">
        <x:v>LIMITED</x:v>
      </x:c>
      <x:c r="L5"/>
      <x:c r="M5" t="str">
        <x:f>IF(L5="","",IF(ABS(L5-J5)&lt;0.000001,"PASS","FAIL"))</x:f>
      </x:c>
    </x:row>
    <x:row r="7">
      <x:c r="A7" s="38" t="str">
        <x:v>T18 confirma que el RI no se pondera por tamaño de muestra: (90 + 60) / 2 = 75, aunque DIR tenga n=2 y COL n=100.</x:v>
      </x:c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</x:row>
  </x:sheetData>
  <x:mergeCells>
    <x:mergeCell ref="A1:M1"/>
    <x:mergeCell ref="A7:M7"/>
  </x:mergeCells>
  <x:conditionalFormatting sqref="M4:M5">
    <x:cfRule type="expression" dxfId="10" priority="1">
      <x:formula>M4="PASS"</x:formula>
    </x:cfRule>
    <x:cfRule type="expression" dxfId="11" priority="2">
      <x:formula>M4="FAIL"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f61cfdb39649b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  <x:col min="14" max="14" width="12" hidden="0" customWidth="1"/>
  </x:cols>
  <x:sheetData>
    <x:row r="1">
      <x:c r="A1" s="46" t="str">
        <x:v>CASOS UNITARIOS: IEO GLOBAL, NIVEL DE SALUD Y SEMÁFORO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RI_E1</x:v>
      </x:c>
      <x:c r="C3" s="20" t="str">
        <x:v>RI_E2</x:v>
      </x:c>
      <x:c r="D3" s="20" t="str">
        <x:v>RI_E3</x:v>
      </x:c>
      <x:c r="E3" s="20" t="str">
        <x:v>RI_E4</x:v>
      </x:c>
      <x:c r="F3" s="20" t="str">
        <x:v>RI_E5</x:v>
      </x:c>
      <x:c r="G3" s="20" t="str">
        <x:v>RI_E6</x:v>
      </x:c>
      <x:c r="H3" s="20" t="str">
        <x:v>RI_E7</x:v>
      </x:c>
      <x:c r="I3" s="20" t="str">
        <x:v>RI_E8</x:v>
      </x:c>
      <x:c r="J3" s="20" t="str">
        <x:v>expected_global</x:v>
      </x:c>
      <x:c r="K3" s="20" t="str">
        <x:v>expected_health</x:v>
      </x:c>
      <x:c r="L3" s="20" t="str">
        <x:v>expected_light</x:v>
      </x:c>
      <x:c r="M3" s="20" t="str">
        <x:v>platform_global</x:v>
      </x:c>
      <x:c r="N3" s="20" t="str">
        <x:v>pass_fail</x:v>
      </x:c>
    </x:row>
    <x:row r="4">
      <x:c r="A4" t="str">
        <x:v>T20</x:v>
      </x:c>
      <x:c r="B4" t="n">
        <x:v>60</x:v>
      </x:c>
      <x:c r="C4" t="n">
        <x:v>65</x:v>
      </x:c>
      <x:c r="D4" t="n">
        <x:v>70</x:v>
      </x:c>
      <x:c r="E4" t="n">
        <x:v>75</x:v>
      </x:c>
      <x:c r="F4" t="n">
        <x:v>80</x:v>
      </x:c>
      <x:c r="G4" t="n">
        <x:v>85</x:v>
      </x:c>
      <x:c r="H4" t="n">
        <x:v>90</x:v>
      </x:c>
      <x:c r="I4" t="n">
        <x:v>95</x:v>
      </x:c>
      <x:c r="J4" s="42" t="n">
        <x:f>AVERAGE(B4:I4)</x:f>
        <x:v>77.5</x:v>
      </x:c>
      <x:c r="K4" t="str">
        <x:v>Estable con riesgos</x:v>
      </x:c>
      <x:c r="L4" t="str">
        <x:v>YELLOW</x:v>
      </x:c>
      <x:c r="M4"/>
      <x:c r="N4" t="str">
        <x:f>IF(M4="","",IF(ABS(M4-J4)&lt;0.000001,"PASS","FAIL"))</x:f>
      </x:c>
    </x:row>
    <x:row r="5">
      <x:c r="A5" t="str">
        <x:v>T21</x:v>
      </x:c>
      <x:c r="B5" t="n">
        <x:v>66.6666666667</x:v>
      </x:c>
      <x:c r="C5" t="n">
        <x:v>71.4285714286</x:v>
      </x:c>
      <x:c r="D5" t="n">
        <x:v>73.3333333333</x:v>
      </x:c>
      <x:c r="E5" t="n">
        <x:v>77.7777777778</x:v>
      </x:c>
      <x:c r="F5" t="n">
        <x:v>82.3529411765</x:v>
      </x:c>
      <x:c r="G5" t="n">
        <x:v>86.6666666667</x:v>
      </x:c>
      <x:c r="H5" t="n">
        <x:v>91.4285714286</x:v>
      </x:c>
      <x:c r="I5" t="n">
        <x:v>94.4444444444</x:v>
      </x:c>
      <x:c r="J5" s="42" t="n">
        <x:f>AVERAGE(B5:I5)</x:f>
        <x:v>80.512371615325</x:v>
      </x:c>
      <x:c r="K5" t="str">
        <x:v>Saludable</x:v>
      </x:c>
      <x:c r="L5" t="str">
        <x:v>LIGHT_GREEN</x:v>
      </x:c>
      <x:c r="M5"/>
      <x:c r="N5" t="str">
        <x:f>IF(M5="","",IF(ABS(M5-J5)&lt;0.000001,"PASS","FAIL"))</x:f>
      </x:c>
    </x:row>
    <x:row r="8">
      <x:c r="A8" s="20" t="str">
        <x:v>score</x:v>
      </x:c>
      <x:c r="B8" s="20" t="str">
        <x:v>expected_health</x:v>
      </x:c>
      <x:c r="C8" s="20" t="str">
        <x:v>expected_light</x:v>
      </x:c>
      <x:c r="D8" s="20" t="str">
        <x:v>platform_health</x:v>
      </x:c>
      <x:c r="E8" s="20" t="str">
        <x:v>platform_light</x:v>
      </x:c>
      <x:c r="F8" s="20" t="str">
        <x:v>pass_fail</x:v>
      </x:c>
    </x:row>
    <x:row r="9">
      <x:c r="A9" t="n">
        <x:v>49</x:v>
      </x:c>
      <x:c r="B9" t="str">
        <x:v>Crítico</x:v>
      </x:c>
      <x:c r="C9" t="str">
        <x:v>RED</x:v>
      </x:c>
      <x:c r="D9"/>
      <x:c r="E9"/>
      <x:c r="F9" t="str">
        <x:f>IF(OR(D9="",E9=""),"",IF(AND(D9=B9,E9=C9),"PASS","FAIL"))</x:f>
      </x:c>
    </x:row>
    <x:row r="10">
      <x:c r="A10" t="n">
        <x:v>50</x:v>
      </x:c>
      <x:c r="B10" t="str">
        <x:v>Erosión importante</x:v>
      </x:c>
      <x:c r="C10" t="str">
        <x:v>RED</x:v>
      </x:c>
      <x:c r="D10"/>
      <x:c r="E10"/>
      <x:c r="F10" t="str">
        <x:f>IF(OR(D10="",E10=""),"",IF(AND(D10=B10,E10=C10),"PASS","FAIL"))</x:f>
      </x:c>
    </x:row>
    <x:row r="11">
      <x:c r="A11" t="n">
        <x:v>59</x:v>
      </x:c>
      <x:c r="B11" t="str">
        <x:v>Erosión importante</x:v>
      </x:c>
      <x:c r="C11" t="str">
        <x:v>RED</x:v>
      </x:c>
      <x:c r="D11"/>
      <x:c r="E11"/>
      <x:c r="F11" t="str">
        <x:f>IF(OR(D11="",E11=""),"",IF(AND(D11=B11,E11=C11),"PASS","FAIL"))</x:f>
      </x:c>
    </x:row>
    <x:row r="12">
      <x:c r="A12" t="n">
        <x:v>60</x:v>
      </x:c>
      <x:c r="B12" t="str">
        <x:v>En erosión</x:v>
      </x:c>
      <x:c r="C12" t="str">
        <x:v>ORANGE</x:v>
      </x:c>
      <x:c r="D12"/>
      <x:c r="E12"/>
      <x:c r="F12" t="str">
        <x:f>IF(OR(D12="",E12=""),"",IF(AND(D12=B12,E12=C12),"PASS","FAIL"))</x:f>
      </x:c>
    </x:row>
    <x:row r="13">
      <x:c r="A13" t="n">
        <x:v>69</x:v>
      </x:c>
      <x:c r="B13" t="str">
        <x:v>En erosión</x:v>
      </x:c>
      <x:c r="C13" t="str">
        <x:v>ORANGE</x:v>
      </x:c>
      <x:c r="D13"/>
      <x:c r="E13"/>
      <x:c r="F13" t="str">
        <x:f>IF(OR(D13="",E13=""),"",IF(AND(D13=B13,E13=C13),"PASS","FAIL"))</x:f>
      </x:c>
    </x:row>
    <x:row r="14">
      <x:c r="A14" t="n">
        <x:v>70</x:v>
      </x:c>
      <x:c r="B14" t="str">
        <x:v>Estable con riesgos</x:v>
      </x:c>
      <x:c r="C14" t="str">
        <x:v>YELLOW</x:v>
      </x:c>
      <x:c r="D14"/>
      <x:c r="E14"/>
      <x:c r="F14" t="str">
        <x:f>IF(OR(D14="",E14=""),"",IF(AND(D14=B14,E14=C14),"PASS","FAIL"))</x:f>
      </x:c>
    </x:row>
    <x:row r="15">
      <x:c r="A15" t="n">
        <x:v>79</x:v>
      </x:c>
      <x:c r="B15" t="str">
        <x:v>Estable con riesgos</x:v>
      </x:c>
      <x:c r="C15" t="str">
        <x:v>YELLOW</x:v>
      </x:c>
      <x:c r="D15"/>
      <x:c r="E15"/>
      <x:c r="F15" t="str">
        <x:f>IF(OR(D15="",E15=""),"",IF(AND(D15=B15,E15=C15),"PASS","FAIL"))</x:f>
      </x:c>
    </x:row>
    <x:row r="16">
      <x:c r="A16" t="n">
        <x:v>80</x:v>
      </x:c>
      <x:c r="B16" t="str">
        <x:v>Saludable</x:v>
      </x:c>
      <x:c r="C16" t="str">
        <x:v>LIGHT_GREEN</x:v>
      </x:c>
      <x:c r="D16"/>
      <x:c r="E16"/>
      <x:c r="F16" t="str">
        <x:f>IF(OR(D16="",E16=""),"",IF(AND(D16=B16,E16=C16),"PASS","FAIL"))</x:f>
      </x:c>
    </x:row>
    <x:row r="17">
      <x:c r="A17" t="n">
        <x:v>89</x:v>
      </x:c>
      <x:c r="B17" t="str">
        <x:v>Saludable</x:v>
      </x:c>
      <x:c r="C17" t="str">
        <x:v>LIGHT_GREEN</x:v>
      </x:c>
      <x:c r="D17"/>
      <x:c r="E17"/>
      <x:c r="F17" t="str">
        <x:f>IF(OR(D17="",E17=""),"",IF(AND(D17=B17,E17=C17),"PASS","FAIL"))</x:f>
      </x:c>
    </x:row>
    <x:row r="18">
      <x:c r="A18" t="n">
        <x:v>90</x:v>
      </x:c>
      <x:c r="B18" t="str">
        <x:v>Muy saludable</x:v>
      </x:c>
      <x:c r="C18" t="str">
        <x:v>DARK_GREEN</x:v>
      </x:c>
      <x:c r="D18"/>
      <x:c r="E18"/>
      <x:c r="F18" t="str">
        <x:f>IF(OR(D18="",E18=""),"",IF(AND(D18=B18,E18=C18),"PASS","FAIL"))</x:f>
      </x:c>
    </x:row>
    <x:row r="19">
      <x:c r="A19" t="n">
        <x:v>94</x:v>
      </x:c>
      <x:c r="B19" t="str">
        <x:v>Muy saludable</x:v>
      </x:c>
      <x:c r="C19" t="str">
        <x:v>DARK_GREEN</x:v>
      </x:c>
      <x:c r="D19"/>
      <x:c r="E19"/>
      <x:c r="F19" t="str">
        <x:f>IF(OR(D19="",E19=""),"",IF(AND(D19=B19,E19=C19),"PASS","FAIL"))</x:f>
      </x:c>
    </x:row>
    <x:row r="20">
      <x:c r="A20" t="n">
        <x:v>95</x:v>
      </x:c>
      <x:c r="B20" t="str">
        <x:v>Ejemplar</x:v>
      </x:c>
      <x:c r="C20" t="str">
        <x:v>DARK_GREEN</x:v>
      </x:c>
      <x:c r="D20"/>
      <x:c r="E20"/>
      <x:c r="F20" t="str">
        <x:f>IF(OR(D20="",E20=""),"",IF(AND(D20=B20,E20=C20),"PASS","FAIL"))</x:f>
      </x:c>
    </x:row>
    <x:row r="21">
      <x:c r="A21" t="n">
        <x:v>100</x:v>
      </x:c>
      <x:c r="B21" t="str">
        <x:v>Ejemplar</x:v>
      </x:c>
      <x:c r="C21" t="str">
        <x:v>DARK_GREEN</x:v>
      </x:c>
      <x:c r="D21"/>
      <x:c r="E21"/>
      <x:c r="F21" t="str">
        <x:f>IF(OR(D21="",E21=""),"",IF(AND(D21=B21,E21=C21),"PASS","FAIL"))</x:f>
      </x:c>
    </x:row>
    <x:row r="23">
      <x:c r="A23" s="38" t="str">
        <x:v>T21 control de precisión: promedio con valores completos = 80.512371615325. Si cada RI se redondeara primero a 2 decimales, el promedio sería 80.5125. La plataforma debe conservar precisión completa internamente.</x:v>
      </x:c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</x:row>
  </x:sheetData>
  <x:mergeCells>
    <x:mergeCell ref="A1:N1"/>
    <x:mergeCell ref="A23:N23"/>
  </x:mergeCells>
  <x:conditionalFormatting sqref="N4:N5">
    <x:cfRule type="expression" dxfId="12" priority="1">
      <x:formula>N4="PASS"</x:formula>
    </x:cfRule>
    <x:cfRule type="expression" dxfId="13" priority="2">
      <x:formula>N4="FAIL"</x:formula>
    </x:cfRule>
  </x:conditionalFormatting>
  <x:conditionalFormatting sqref="F9:F21">
    <x:cfRule type="expression" dxfId="14" priority="3">
      <x:formula>F9="PASS"</x:formula>
    </x:cfRule>
    <x:cfRule type="expression" dxfId="15" priority="4">
      <x:formula>F9="FAIL"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b08be3e5c24f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8" hidden="0" customWidth="1"/>
    <x:col min="11" max="11" width="14" hidden="0" customWidth="1"/>
  </x:cols>
  <x:sheetData>
    <x:row r="1">
      <x:c r="A1" s="50" t="str">
        <x:v>CASO T22 · PRUEBA END-TO-END DE UN ELEMENTO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12" t="str">
        <x:v>Escenario sintético controlado. No representa una organización real.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0" t="str">
        <x:v>perspective</x:v>
      </x:c>
      <x:c r="B4" s="20" t="str">
        <x:v>PI_1</x:v>
      </x:c>
      <x:c r="C4" s="20" t="str">
        <x:v>PI_2</x:v>
      </x:c>
      <x:c r="D4" s="20" t="str">
        <x:v>PI_3</x:v>
      </x:c>
      <x:c r="E4" s="20" t="str">
        <x:v>PI_4</x:v>
      </x:c>
      <x:c r="F4" s="20" t="str">
        <x:v>valid_pi_count</x:v>
      </x:c>
      <x:c r="G4" s="20" t="str">
        <x:v>expected_RP</x:v>
      </x:c>
      <x:c r="H4" s="20" t="str">
        <x:v>platform_RP</x:v>
      </x:c>
      <x:c r="I4" s="20" t="str">
        <x:v>RP_pass</x:v>
      </x:c>
      <x:c r="J4" s="20" t="str">
        <x:v>sample_size_note</x:v>
      </x:c>
      <x:c r="K4" s="20" t="str">
        <x:v>status</x:v>
      </x:c>
    </x:row>
    <x:row r="5">
      <x:c r="A5" s="26" t="str">
        <x:v>DIR</x:v>
      </x:c>
      <x:c r="B5" s="26" t="n">
        <x:v>80</x:v>
      </x:c>
      <x:c r="C5" s="26" t="n">
        <x:v>90</x:v>
      </x:c>
      <x:c r="D5" s="26"/>
      <x:c r="E5" s="26"/>
      <x:c r="F5" s="26" t="n">
        <x:f>COUNT(B5:E5)</x:f>
        <x:v>2</x:v>
      </x:c>
      <x:c r="G5" s="26" t="n">
        <x:f>AVERAGE(B5:E5)</x:f>
        <x:v>85</x:v>
      </x:c>
      <x:c r="H5" s="26"/>
      <x:c r="I5" s="26" t="str">
        <x:f>IF(H5="","",IF(ABS(H5-G5)&lt;0.000001,"PASS","FAIL"))</x:f>
      </x:c>
      <x:c r="J5" s="26" t="str">
        <x:v>n=2</x:v>
      </x:c>
      <x:c r="K5" s="26" t="str">
        <x:v>VALID</x:v>
      </x:c>
    </x:row>
    <x:row r="6">
      <x:c r="A6" s="26" t="str">
        <x:v>ESP</x:v>
      </x:c>
      <x:c r="B6" s="26" t="n">
        <x:v>70</x:v>
      </x:c>
      <x:c r="C6" s="26" t="n">
        <x:v>80</x:v>
      </x:c>
      <x:c r="D6" s="26"/>
      <x:c r="E6" s="26"/>
      <x:c r="F6" s="26" t="n">
        <x:f>COUNT(B6:E6)</x:f>
        <x:v>2</x:v>
      </x:c>
      <x:c r="G6" s="26" t="n">
        <x:f>AVERAGE(B6:E6)</x:f>
        <x:v>75</x:v>
      </x:c>
      <x:c r="H6" s="26"/>
      <x:c r="I6" s="26" t="str">
        <x:f>IF(H6="","",IF(ABS(H6-G6)&lt;0.000001,"PASS","FAIL"))</x:f>
      </x:c>
      <x:c r="J6" s="26" t="str">
        <x:v>n=2</x:v>
      </x:c>
      <x:c r="K6" s="26" t="str">
        <x:v>VALID</x:v>
      </x:c>
    </x:row>
    <x:row r="7">
      <x:c r="A7" s="26" t="str">
        <x:v>LID</x:v>
      </x:c>
      <x:c r="B7" s="26" t="n">
        <x:v>60</x:v>
      </x:c>
      <x:c r="C7" s="26" t="n">
        <x:v>70</x:v>
      </x:c>
      <x:c r="D7" s="26" t="n">
        <x:v>80</x:v>
      </x:c>
      <x:c r="E7" s="26"/>
      <x:c r="F7" s="26" t="n">
        <x:f>COUNT(B7:E7)</x:f>
        <x:v>3</x:v>
      </x:c>
      <x:c r="G7" s="26" t="n">
        <x:f>AVERAGE(B7:E7)</x:f>
        <x:v>70</x:v>
      </x:c>
      <x:c r="H7" s="26"/>
      <x:c r="I7" s="26" t="str">
        <x:f>IF(H7="","",IF(ABS(H7-G7)&lt;0.000001,"PASS","FAIL"))</x:f>
      </x:c>
      <x:c r="J7" s="26" t="str">
        <x:v>n=3</x:v>
      </x:c>
      <x:c r="K7" s="26" t="str">
        <x:v>VALID</x:v>
      </x:c>
    </x:row>
    <x:row r="8">
      <x:c r="A8" s="26" t="str">
        <x:v>COL</x:v>
      </x:c>
      <x:c r="B8" s="26" t="n">
        <x:v>50</x:v>
      </x:c>
      <x:c r="C8" s="26" t="n">
        <x:v>60</x:v>
      </x:c>
      <x:c r="D8" s="26" t="n">
        <x:v>70</x:v>
      </x:c>
      <x:c r="E8" s="26" t="n">
        <x:v>80</x:v>
      </x:c>
      <x:c r="F8" s="26" t="n">
        <x:f>COUNT(B8:E8)</x:f>
        <x:v>4</x:v>
      </x:c>
      <x:c r="G8" s="26" t="n">
        <x:f>AVERAGE(B8:E8)</x:f>
        <x:v>65</x:v>
      </x:c>
      <x:c r="H8" s="26"/>
      <x:c r="I8" s="26" t="str">
        <x:f>IF(H8="","",IF(ABS(H8-G8)&lt;0.000001,"PASS","FAIL"))</x:f>
      </x:c>
      <x:c r="J8" s="26" t="str">
        <x:v>n=4</x:v>
      </x:c>
      <x:c r="K8" s="26" t="str">
        <x:v>VALID</x:v>
      </x:c>
    </x:row>
    <x:row r="9">
      <x:c r="A9" s="26" t="str">
        <x:v>CLI</x:v>
      </x:c>
      <x:c r="B9" s="26" t="n">
        <x:v>90</x:v>
      </x:c>
      <x:c r="C9" s="26" t="n">
        <x:v>100</x:v>
      </x:c>
      <x:c r="D9" s="26"/>
      <x:c r="E9" s="26"/>
      <x:c r="F9" s="26" t="n">
        <x:f>COUNT(B9:E9)</x:f>
        <x:v>2</x:v>
      </x:c>
      <x:c r="G9" s="26" t="n">
        <x:f>AVERAGE(B9:E9)</x:f>
        <x:v>95</x:v>
      </x:c>
      <x:c r="H9" s="26"/>
      <x:c r="I9" s="26" t="str">
        <x:f>IF(H9="","",IF(ABS(H9-G9)&lt;0.000001,"PASS","FAIL"))</x:f>
      </x:c>
      <x:c r="J9" s="26" t="str">
        <x:v>n=2</x:v>
      </x:c>
      <x:c r="K9" s="26" t="str">
        <x:v>VALID</x:v>
      </x:c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0" t="str">
        <x:v>metric</x:v>
      </x:c>
      <x:c r="B12" s="20" t="str">
        <x:v>formula_basis</x:v>
      </x:c>
      <x:c r="C12" s="20" t="str">
        <x:v>expected_value</x:v>
      </x:c>
      <x:c r="D12" s="20" t="str">
        <x:v>expected_class/status</x:v>
      </x:c>
      <x:c r="E12" s="20" t="str">
        <x:v>platform_value</x:v>
      </x:c>
      <x:c r="F12" s="20" t="str">
        <x:v>platform_class/status</x:v>
      </x:c>
      <x:c r="G12" s="20" t="str">
        <x:v>pass_fail</x:v>
      </x:c>
      <x:c r="H12" s="20" t="str">
        <x:v>notes</x:v>
      </x:c>
      <x:c r="I12" s="26"/>
      <x:c r="J12" s="26"/>
      <x:c r="K12" s="26"/>
    </x:row>
    <x:row r="13">
      <x:c r="A13" s="26" t="str">
        <x:v>BT</x:v>
      </x:c>
      <x:c r="B13" s="26" t="str">
        <x:v>MAX(RP)-MIN(RP)</x:v>
      </x:c>
      <x:c r="C13" s="26" t="n">
        <x:f>MAX(G5:G9)-MIN(G5:G9)</x:f>
        <x:v>30</x:v>
      </x:c>
      <x:c r="D13" s="26" t="str">
        <x:v>RELEVANT_GAP</x:v>
      </x:c>
      <x:c r="E13" s="26"/>
      <x:c r="F13" s="26"/>
      <x:c r="G13" s="26" t="str">
        <x:f>IF(OR(E13="",F13=""),"",IF(AND(ABS(E13-C13)&lt;0.000001,F13=D13),"PASS","FAIL"))</x:f>
      </x:c>
      <x:c r="H13" s="26" t="str">
        <x:v>Max CLI=95; Min COL=65</x:v>
      </x:c>
      <x:c r="I13" s="26"/>
      <x:c r="J13" s="26"/>
      <x:c r="K13" s="26"/>
    </x:row>
    <x:row r="14">
      <x:c r="A14" s="26" t="str">
        <x:v>RI</x:v>
      </x:c>
      <x:c r="B14" s="26" t="str">
        <x:v>AVERAGE(RP)</x:v>
      </x:c>
      <x:c r="C14" s="26" t="n">
        <x:f>AVERAGE(G5:G9)</x:f>
        <x:v>78</x:v>
      </x:c>
      <x:c r="D14" s="26" t="str">
        <x:v>INTEGRATED</x:v>
      </x:c>
      <x:c r="E14" s="26"/>
      <x:c r="F14" s="26"/>
      <x:c r="G14" s="26" t="str">
        <x:f>IF(OR(E14="",F14=""),"",IF(AND(ABS(E14-C14)&lt;0.000001,F14=D14),"PASS","FAIL"))</x:f>
      </x:c>
      <x:c r="H14" s="26" t="str">
        <x:v>Igual peso conceptual</x:v>
      </x:c>
      <x:c r="I14" s="26"/>
      <x:c r="J14" s="26"/>
      <x:c r="K14" s="26"/>
    </x:row>
  </x:sheetData>
  <x:mergeCells>
    <x:mergeCell ref="A1:K1"/>
    <x:mergeCell ref="A2:K2"/>
  </x:mergeCells>
  <x:conditionalFormatting sqref="I5:I9">
    <x:cfRule type="expression" dxfId="16" priority="1">
      <x:formula>I5="PASS"</x:formula>
    </x:cfRule>
    <x:cfRule type="expression" dxfId="17" priority="2">
      <x:formula>I5="FAIL"</x:formula>
    </x:cfRule>
  </x:conditionalFormatting>
  <x:conditionalFormatting sqref="G13:G14">
    <x:cfRule type="expression" dxfId="18" priority="3">
      <x:formula>G13="PASS"</x:formula>
    </x:cfRule>
    <x:cfRule type="expression" dxfId="19" priority="4">
      <x:formula>G13="FAIL"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a793f1256e4f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4" hidden="0" customWidth="1"/>
    <x:col min="5" max="5" width="28" hidden="0" customWidth="1"/>
    <x:col min="6" max="6" width="28" hidden="0" customWidth="1"/>
    <x:col min="7" max="7" width="28" hidden="0" customWidth="1"/>
    <x:col min="8" max="8" width="20" hidden="0" customWidth="1"/>
    <x:col min="9" max="9" width="16" hidden="0" customWidth="1"/>
    <x:col min="10" max="10" width="14" hidden="0" customWidth="1"/>
    <x:col min="11" max="11" width="42" hidden="0" customWidth="1"/>
    <x:col min="13" max="13" width="22" hidden="0" customWidth="1"/>
    <x:col min="14" max="14" width="14" hidden="0" customWidth="1"/>
  </x:cols>
  <x:sheetData>
    <x:row r="1">
      <x:c r="A1" s="46" t="str">
        <x:v>MATRIZ FORMAL DE ACEPTACIÓN DE PLATAFORMA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case_id</x:v>
      </x:c>
      <x:c r="B3" s="20" t="str">
        <x:v>layer</x:v>
      </x:c>
      <x:c r="C3" s="20" t="str">
        <x:v>case_name</x:v>
      </x:c>
      <x:c r="D3" s="20" t="str">
        <x:v>expected_result</x:v>
      </x:c>
      <x:c r="E3" s="20" t="str">
        <x:v>platform_result</x:v>
      </x:c>
      <x:c r="F3" s="20" t="str">
        <x:v>expected_status/class</x:v>
      </x:c>
      <x:c r="G3" s="20" t="str">
        <x:v>platform_status/class</x:v>
      </x:c>
      <x:c r="H3" s="20" t="str">
        <x:v>tester</x:v>
      </x:c>
      <x:c r="I3" s="20" t="str">
        <x:v>test_date</x:v>
      </x:c>
      <x:c r="J3" s="20" t="str">
        <x:v>pass_fail</x:v>
      </x:c>
      <x:c r="K3" s="20" t="str">
        <x:v>comments</x:v>
      </x:c>
      <x:c r="M3" s="20" t="str">
        <x:v>Indicador</x:v>
      </x:c>
      <x:c r="N3" s="20" t="str">
        <x:v>Valor</x:v>
      </x:c>
    </x:row>
    <x:row r="4">
      <x:c r="A4" t="str">
        <x:v>T01</x:v>
      </x:c>
      <x:c r="B4" t="str">
        <x:v>Reactivo</x:v>
      </x:c>
      <x:c r="C4" t="str">
        <x:v>Directo mínimo</x:v>
      </x:c>
      <x:c r="D4" t="str">
        <x:v>score_100=0</x:v>
      </x:c>
      <x:c r="E4"/>
      <x:c r="F4"/>
      <x:c r="G4"/>
      <x:c r="H4"/>
      <x:c r="I4"/>
      <x:c r="J4"/>
      <x:c r="K4"/>
      <x:c r="M4" t="str">
        <x:v>Casos totales</x:v>
      </x:c>
      <x:c r="N4" t="n">
        <x:v>23</x:v>
      </x:c>
    </x:row>
    <x:row r="5">
      <x:c r="A5" t="str">
        <x:v>T02</x:v>
      </x:c>
      <x:c r="B5" t="str">
        <x:v>Reactivo</x:v>
      </x:c>
      <x:c r="C5" t="str">
        <x:v>Directo máximo</x:v>
      </x:c>
      <x:c r="D5" t="str">
        <x:v>score_100=100</x:v>
      </x:c>
      <x:c r="E5"/>
      <x:c r="F5"/>
      <x:c r="G5"/>
      <x:c r="H5"/>
      <x:c r="I5"/>
      <x:c r="J5"/>
      <x:c r="K5"/>
      <x:c r="M5" t="str">
        <x:v>PASS</x:v>
      </x:c>
      <x:c r="N5" t="n">
        <x:f>COUNTIF(J4:J26,"PASS")</x:f>
        <x:v>0</x:v>
      </x:c>
    </x:row>
    <x:row r="6">
      <x:c r="A6" t="str">
        <x:v>T03</x:v>
      </x:c>
      <x:c r="B6" t="str">
        <x:v>Reactivo</x:v>
      </x:c>
      <x:c r="C6" t="str">
        <x:v>Inverso mínimo</x:v>
      </x:c>
      <x:c r="D6" t="str">
        <x:v>score_100=100</x:v>
      </x:c>
      <x:c r="E6"/>
      <x:c r="F6"/>
      <x:c r="G6"/>
      <x:c r="H6"/>
      <x:c r="I6"/>
      <x:c r="J6"/>
      <x:c r="K6"/>
      <x:c r="M6" t="str">
        <x:v>FAIL</x:v>
      </x:c>
      <x:c r="N6" t="n">
        <x:f>COUNTIF(J4:J26,"FAIL")</x:f>
        <x:v>0</x:v>
      </x:c>
    </x:row>
    <x:row r="7">
      <x:c r="A7" t="str">
        <x:v>T04</x:v>
      </x:c>
      <x:c r="B7" t="str">
        <x:v>Reactivo</x:v>
      </x:c>
      <x:c r="C7" t="str">
        <x:v>Inverso máximo</x:v>
      </x:c>
      <x:c r="D7" t="str">
        <x:v>score_100=0</x:v>
      </x:c>
      <x:c r="E7"/>
      <x:c r="F7"/>
      <x:c r="G7"/>
      <x:c r="H7"/>
      <x:c r="I7"/>
      <x:c r="J7"/>
      <x:c r="K7"/>
      <x:c r="M7" t="str">
        <x:v>Pendientes</x:v>
      </x:c>
      <x:c r="N7" t="n">
        <x:f>ROWS(J4:J26)-COUNTIF(J4:J26,"PASS")-COUNTIF(J4:J26,"FAIL")</x:f>
        <x:v>23</x:v>
      </x:c>
    </x:row>
    <x:row r="8">
      <x:c r="A8" t="str">
        <x:v>T05</x:v>
      </x:c>
      <x:c r="B8" t="str">
        <x:v>Reactivo</x:v>
      </x:c>
      <x:c r="C8" t="str">
        <x:v>N/A</x:v>
      </x:c>
      <x:c r="D8" t="str">
        <x:v>NULL derivado</x:v>
      </x:c>
      <x:c r="E8"/>
      <x:c r="F8"/>
      <x:c r="G8"/>
      <x:c r="H8"/>
      <x:c r="I8"/>
      <x:c r="J8"/>
      <x:c r="K8"/>
    </x:row>
    <x:row r="9">
      <x:c r="A9" t="str">
        <x:v>T06</x:v>
      </x:c>
      <x:c r="B9" t="str">
        <x:v>Cobertura</x:v>
      </x:c>
      <x:c r="C9" t="str">
        <x:v>Umbral exacto 60%</x:v>
      </x:c>
      <x:c r="D9" t="str">
        <x:v>SUFFICIENT</x:v>
      </x:c>
      <x:c r="E9"/>
      <x:c r="F9"/>
      <x:c r="G9"/>
      <x:c r="H9"/>
      <x:c r="I9"/>
      <x:c r="J9"/>
      <x:c r="K9"/>
    </x:row>
    <x:row r="10">
      <x:c r="A10" t="str">
        <x:v>T06N</x:v>
      </x:c>
      <x:c r="B10" t="str">
        <x:v>Cobertura</x:v>
      </x:c>
      <x:c r="C10" t="str">
        <x:v>N/A fuera del denominador</x:v>
      </x:c>
      <x:c r="D10" t="str">
        <x:v>6 válidos / 6 aplicables = 100%</x:v>
      </x:c>
      <x:c r="E10"/>
      <x:c r="F10"/>
      <x:c r="G10"/>
      <x:c r="H10"/>
      <x:c r="I10"/>
      <x:c r="J10"/>
      <x:c r="K10"/>
    </x:row>
    <x:row r="11">
      <x:c r="A11" t="str">
        <x:v>T07</x:v>
      </x:c>
      <x:c r="B11" t="str">
        <x:v>Cobertura</x:v>
      </x:c>
      <x:c r="C11" t="str">
        <x:v>Debajo de 60%</x:v>
      </x:c>
      <x:c r="D11" t="str">
        <x:v>INSUFFICIENT / ND</x:v>
      </x:c>
      <x:c r="E11"/>
      <x:c r="F11"/>
      <x:c r="G11"/>
      <x:c r="H11"/>
      <x:c r="I11"/>
      <x:c r="J11"/>
      <x:c r="K11"/>
    </x:row>
    <x:row r="12">
      <x:c r="A12" t="str">
        <x:v>T08</x:v>
      </x:c>
      <x:c r="B12" t="str">
        <x:v>PI</x:v>
      </x:c>
      <x:c r="C12" t="str">
        <x:v>Promedio completo</x:v>
      </x:c>
      <x:c r="D12" t="str">
        <x:v>PI=50</x:v>
      </x:c>
      <x:c r="E12"/>
      <x:c r="F12"/>
      <x:c r="G12"/>
      <x:c r="H12"/>
      <x:c r="I12"/>
      <x:c r="J12"/>
      <x:c r="K12"/>
    </x:row>
    <x:row r="13">
      <x:c r="A13" t="str">
        <x:v>T09</x:v>
      </x:c>
      <x:c r="B13" t="str">
        <x:v>PI</x:v>
      </x:c>
      <x:c r="C13" t="str">
        <x:v>PI con N/A</x:v>
      </x:c>
      <x:c r="D13" t="str">
        <x:v>PI=50</x:v>
      </x:c>
      <x:c r="E13"/>
      <x:c r="F13"/>
      <x:c r="G13"/>
      <x:c r="H13"/>
      <x:c r="I13"/>
      <x:c r="J13"/>
      <x:c r="K13"/>
    </x:row>
    <x:row r="14">
      <x:c r="A14" t="str">
        <x:v>T10</x:v>
      </x:c>
      <x:c r="B14" t="str">
        <x:v>RP</x:v>
      </x:c>
      <x:c r="C14" t="str">
        <x:v>Promedio de PI</x:v>
      </x:c>
      <x:c r="D14" t="str">
        <x:v>RP=60</x:v>
      </x:c>
      <x:c r="E14"/>
      <x:c r="F14"/>
      <x:c r="G14"/>
      <x:c r="H14"/>
      <x:c r="I14"/>
      <x:c r="J14"/>
      <x:c r="K14"/>
    </x:row>
    <x:row r="15">
      <x:c r="A15" t="str">
        <x:v>T11</x:v>
      </x:c>
      <x:c r="B15" t="str">
        <x:v>RP</x:v>
      </x:c>
      <x:c r="C15" t="str">
        <x:v>RP con ND</x:v>
      </x:c>
      <x:c r="D15" t="str">
        <x:v>RP=60</x:v>
      </x:c>
      <x:c r="E15"/>
      <x:c r="F15"/>
      <x:c r="G15"/>
      <x:c r="H15"/>
      <x:c r="I15"/>
      <x:c r="J15"/>
      <x:c r="K15"/>
    </x:row>
    <x:row r="16">
      <x:c r="A16" t="str">
        <x:v>T12</x:v>
      </x:c>
      <x:c r="B16" t="str">
        <x:v>BT</x:v>
      </x:c>
      <x:c r="C16" t="str">
        <x:v>BT=12</x:v>
      </x:c>
      <x:c r="D16" t="str">
        <x:v>HIGH_CONVERGENCE</x:v>
      </x:c>
      <x:c r="E16"/>
      <x:c r="F16"/>
      <x:c r="G16"/>
      <x:c r="H16"/>
      <x:c r="I16"/>
      <x:c r="J16"/>
      <x:c r="K16"/>
    </x:row>
    <x:row r="17">
      <x:c r="A17" t="str">
        <x:v>T13</x:v>
      </x:c>
      <x:c r="B17" t="str">
        <x:v>BT</x:v>
      </x:c>
      <x:c r="C17" t="str">
        <x:v>BT=13</x:v>
      </x:c>
      <x:c r="D17" t="str">
        <x:v>MODERATE_DIFFERENCE</x:v>
      </x:c>
      <x:c r="E17"/>
      <x:c r="F17"/>
      <x:c r="G17"/>
      <x:c r="H17"/>
      <x:c r="I17"/>
      <x:c r="J17"/>
      <x:c r="K17"/>
    </x:row>
    <x:row r="18">
      <x:c r="A18" t="str">
        <x:v>T14</x:v>
      </x:c>
      <x:c r="B18" t="str">
        <x:v>BT</x:v>
      </x:c>
      <x:c r="C18" t="str">
        <x:v>BT=24</x:v>
      </x:c>
      <x:c r="D18" t="str">
        <x:v>MODERATE_DIFFERENCE</x:v>
      </x:c>
      <x:c r="E18"/>
      <x:c r="F18"/>
      <x:c r="G18"/>
      <x:c r="H18"/>
      <x:c r="I18"/>
      <x:c r="J18"/>
      <x:c r="K18"/>
    </x:row>
    <x:row r="19">
      <x:c r="A19" t="str">
        <x:v>T15</x:v>
      </x:c>
      <x:c r="B19" t="str">
        <x:v>BT</x:v>
      </x:c>
      <x:c r="C19" t="str">
        <x:v>BT=25</x:v>
      </x:c>
      <x:c r="D19" t="str">
        <x:v>RELEVANT_GAP</x:v>
      </x:c>
      <x:c r="E19"/>
      <x:c r="F19"/>
      <x:c r="G19"/>
      <x:c r="H19"/>
      <x:c r="I19"/>
      <x:c r="J19"/>
      <x:c r="K19"/>
    </x:row>
    <x:row r="20">
      <x:c r="A20" t="str">
        <x:v>T16</x:v>
      </x:c>
      <x:c r="B20" t="str">
        <x:v>BT</x:v>
      </x:c>
      <x:c r="C20" t="str">
        <x:v>BT=37</x:v>
      </x:c>
      <x:c r="D20" t="str">
        <x:v>RELEVANT_GAP</x:v>
      </x:c>
      <x:c r="E20"/>
      <x:c r="F20"/>
      <x:c r="G20"/>
      <x:c r="H20"/>
      <x:c r="I20"/>
      <x:c r="J20"/>
      <x:c r="K20"/>
    </x:row>
    <x:row r="21">
      <x:c r="A21" t="str">
        <x:v>T17</x:v>
      </x:c>
      <x:c r="B21" t="str">
        <x:v>BT</x:v>
      </x:c>
      <x:c r="C21" t="str">
        <x:v>BT=38</x:v>
      </x:c>
      <x:c r="D21" t="str">
        <x:v>CRITICAL_GAP</x:v>
      </x:c>
      <x:c r="E21"/>
      <x:c r="F21"/>
      <x:c r="G21"/>
      <x:c r="H21"/>
      <x:c r="I21"/>
      <x:c r="J21"/>
      <x:c r="K21"/>
    </x:row>
    <x:row r="22">
      <x:c r="A22" t="str">
        <x:v>T18</x:v>
      </x:c>
      <x:c r="B22" t="str">
        <x:v>RI</x:v>
      </x:c>
      <x:c r="C22" t="str">
        <x:v>Pesos iguales</x:v>
      </x:c>
      <x:c r="D22" t="str">
        <x:v>RI=75</x:v>
      </x:c>
      <x:c r="E22"/>
      <x:c r="F22"/>
      <x:c r="G22"/>
      <x:c r="H22"/>
      <x:c r="I22"/>
      <x:c r="J22"/>
      <x:c r="K22"/>
    </x:row>
    <x:row r="23">
      <x:c r="A23" t="str">
        <x:v>T19</x:v>
      </x:c>
      <x:c r="B23" t="str">
        <x:v>RI</x:v>
      </x:c>
      <x:c r="C23" t="str">
        <x:v>Una sola perspectiva</x:v>
      </x:c>
      <x:c r="D23" t="str">
        <x:v>LIMITED</x:v>
      </x:c>
      <x:c r="E23"/>
      <x:c r="F23"/>
      <x:c r="G23"/>
      <x:c r="H23"/>
      <x:c r="I23"/>
      <x:c r="J23"/>
      <x:c r="K23"/>
    </x:row>
    <x:row r="24">
      <x:c r="A24" t="str">
        <x:v>T20</x:v>
      </x:c>
      <x:c r="B24" t="str">
        <x:v>Global</x:v>
      </x:c>
      <x:c r="C24" t="str">
        <x:v>IEO Global completo</x:v>
      </x:c>
      <x:c r="D24" t="str">
        <x:v>77.5 / Estable con riesgos / Amarillo</x:v>
      </x:c>
      <x:c r="E24"/>
      <x:c r="F24"/>
      <x:c r="G24"/>
      <x:c r="H24"/>
      <x:c r="I24"/>
      <x:c r="J24"/>
      <x:c r="K24"/>
    </x:row>
    <x:row r="25">
      <x:c r="A25" t="str">
        <x:v>T21</x:v>
      </x:c>
      <x:c r="B25" t="str">
        <x:v>Precisión</x:v>
      </x:c>
      <x:c r="C25" t="str">
        <x:v>Sin redondeo intermedio</x:v>
      </x:c>
      <x:c r="D25" t="str">
        <x:v>No redondear etapas previas</x:v>
      </x:c>
      <x:c r="E25"/>
      <x:c r="F25"/>
      <x:c r="G25"/>
      <x:c r="H25"/>
      <x:c r="I25"/>
      <x:c r="J25"/>
      <x:c r="K25"/>
    </x:row>
    <x:row r="26">
      <x:c r="A26" t="str">
        <x:v>T22</x:v>
      </x:c>
      <x:c r="B26" t="str">
        <x:v>End-to-End</x:v>
      </x:c>
      <x:c r="C26" t="str">
        <x:v>Triangulación de un Elemento</x:v>
      </x:c>
      <x:c r="D26" t="str">
        <x:v>RI=78; BT=30; RELEVANT_GAP</x:v>
      </x:c>
      <x:c r="E26"/>
      <x:c r="F26"/>
      <x:c r="G26"/>
      <x:c r="H26"/>
      <x:c r="I26"/>
      <x:c r="J26"/>
      <x:c r="K26"/>
    </x:row>
  </x:sheetData>
  <x:mergeCells>
    <x:mergeCell ref="A1:K1"/>
  </x:mergeCells>
  <x:conditionalFormatting sqref="J4:J25">
    <x:cfRule type="expression" dxfId="20" priority="1">
      <x:formula>J4="PASS"</x:formula>
    </x:cfRule>
    <x:cfRule type="expression" dxfId="21" priority="2">
      <x:formula>J4="FAIL"</x:formula>
    </x:cfRule>
  </x:conditionalFormatting>
  <x:dataValidations count="2">
    <x:dataValidation type="list" sqref="J4:J25">
      <x:formula1>"PASS,FAIL,BLOCKED,NOT RUN"</x:formula1>
    </x:dataValidation>
    <x:dataValidation type="list" sqref="J4:J26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006ee6ae248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45" hidden="0" customWidth="1"/>
    <x:col min="5" max="5" width="42" hidden="0" customWidth="1"/>
    <x:col min="6" max="6" width="20" hidden="0" customWidth="1"/>
    <x:col min="7" max="7" width="34" hidden="0" customWidth="1"/>
  </x:cols>
  <x:sheetData>
    <x:row r="1">
      <x:c r="A1" s="46" t="str">
        <x:v>REGLAS DE REFERENCIA PARA VALIDACIÓN</x:v>
      </x:c>
      <x:c r="B1" s="46"/>
      <x:c r="C1" s="46"/>
      <x:c r="D1" s="46"/>
      <x:c r="E1" s="46"/>
      <x:c r="F1" s="46"/>
      <x:c r="G1" s="46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s="20" t="str">
        <x:v>rule_id</x:v>
      </x:c>
      <x:c r="B3" s="20" t="str">
        <x:v>rule_name</x:v>
      </x:c>
      <x:c r="C3" s="20" t="str">
        <x:v>condition</x:v>
      </x:c>
      <x:c r="D3" s="20" t="str">
        <x:v>expected_behavior</x:v>
      </x:c>
      <x:c r="E3" s="20" t="str">
        <x:v>prohibited_behavior</x:v>
      </x:c>
      <x:c r="F3" s="20" t="str">
        <x:v>test_cases</x:v>
      </x:c>
      <x:c r="G3" s="20" t="str">
        <x:v>source</x:v>
      </x:c>
    </x:row>
    <x:row r="4">
      <x:c r="A4" s="26" t="str">
        <x:v>R002</x:v>
      </x:c>
      <x:c r="B4" s="26" t="str">
        <x:v>Reactivo inverso</x:v>
      </x:c>
      <x:c r="C4" s="26" t="str">
        <x:v>REVERSE</x:v>
      </x:c>
      <x:c r="D4" s="26" t="str">
        <x:v>6-raw</x:v>
      </x:c>
      <x:c r="E4" s="26" t="str">
        <x:v>Tratar como directo</x:v>
      </x:c>
      <x:c r="F4" s="26" t="str">
        <x:v>T03,T04</x:v>
      </x:c>
      <x:c r="G4" s="26" t="str">
        <x:v>Modelo Matemático 1.1</x:v>
      </x:c>
    </x:row>
    <x:row r="5">
      <x:c r="A5" s="26" t="str">
        <x:v>R003</x:v>
      </x:c>
      <x:c r="B5" s="26" t="str">
        <x:v>N/A</x:v>
      </x:c>
      <x:c r="C5" s="26" t="str">
        <x:v>raw=NA</x:v>
      </x:c>
      <x:c r="D5" s="26" t="str">
        <x:v>Excluir; NULL derivado</x:v>
      </x:c>
      <x:c r="E5" s="26" t="str">
        <x:v>Convertir a 0, 3 o 50</x:v>
      </x:c>
      <x:c r="F5" s="26" t="str">
        <x:v>T05,T09</x:v>
      </x:c>
      <x:c r="G5" s="26" t="str">
        <x:v>Modelo Matemático 1.1</x:v>
      </x:c>
    </x:row>
    <x:row r="6">
      <x:c r="A6" s="26" t="str">
        <x:v>R004</x:v>
      </x:c>
      <x:c r="B6" s="26" t="str">
        <x:v>Conversión 0–100</x:v>
      </x:c>
      <x:c r="C6" s="26" t="str">
        <x:v>recoded 1..5</x:v>
      </x:c>
      <x:c r="D6" s="26" t="str">
        <x:v>(x-1)*25</x:v>
      </x:c>
      <x:c r="E6" s="26" t="str">
        <x:v>Usar otra escala</x:v>
      </x:c>
      <x:c r="F6" s="26" t="str">
        <x:v>T01-T04</x:v>
      </x:c>
      <x:c r="G6" s="26" t="str">
        <x:v>Modelo Matemático 1.1</x:v>
      </x:c>
    </x:row>
    <x:row r="7">
      <x:c r="A7" s="26" t="str">
        <x:v>R005</x:v>
      </x:c>
      <x:c r="B7" s="26" t="str">
        <x:v>Cobertura suficiente</x:v>
      </x:c>
      <x:c r="C7" s="26" t="str">
        <x:v>coverage&gt;=60%</x:v>
      </x:c>
      <x:c r="D7" s="26" t="str">
        <x:v>Calcular PI</x:v>
      </x:c>
      <x:c r="E7" s="26" t="str">
        <x:v>Exigir 100%</x:v>
      </x:c>
      <x:c r="F7" s="26" t="str">
        <x:v>T06</x:v>
      </x:c>
      <x:c r="G7" s="26" t="str">
        <x:v>Modelo Matemático 1.1</x:v>
      </x:c>
    </x:row>
    <x:row r="8">
      <x:c r="A8" s="26" t="str">
        <x:v>R006</x:v>
      </x:c>
      <x:c r="B8" s="26" t="str">
        <x:v>Cobertura insuficiente</x:v>
      </x:c>
      <x:c r="C8" s="26" t="str">
        <x:v>coverage&lt;60%</x:v>
      </x:c>
      <x:c r="D8" s="26" t="str">
        <x:v>PI=ND</x:v>
      </x:c>
      <x:c r="E8" s="26" t="str">
        <x:v>PI=0 o imputado</x:v>
      </x:c>
      <x:c r="F8" s="26" t="str">
        <x:v>T07</x:v>
      </x:c>
      <x:c r="G8" s="26" t="str">
        <x:v>Modelo Matemático 1.1</x:v>
      </x:c>
    </x:row>
    <x:row r="9">
      <x:c r="A9" s="26" t="str">
        <x:v>R007</x:v>
      </x:c>
      <x:c r="B9" s="26" t="str">
        <x:v>PI</x:v>
      </x:c>
      <x:c r="C9" s="26" t="str">
        <x:v>Cobertura suficiente</x:v>
      </x:c>
      <x:c r="D9" s="26" t="str">
        <x:v>Promedio de score_100 válidos</x:v>
      </x:c>
      <x:c r="E9" s="26" t="str">
        <x:v>Incluir N/A</x:v>
      </x:c>
      <x:c r="F9" s="26" t="str">
        <x:v>T08,T09,T22</x:v>
      </x:c>
      <x:c r="G9" s="26" t="str">
        <x:v>Modelo Matemático 1.1</x:v>
      </x:c>
    </x:row>
    <x:row r="10">
      <x:c r="A10" s="26" t="str">
        <x:v>R008</x:v>
      </x:c>
      <x:c r="B10" s="26" t="str">
        <x:v>RP</x:v>
      </x:c>
      <x:c r="C10" s="26" t="str">
        <x:v>PI válidas</x:v>
      </x:c>
      <x:c r="D10" s="26" t="str">
        <x:v>Promedio de PI válidas</x:v>
      </x:c>
      <x:c r="E10" s="26" t="str">
        <x:v>Incluir ND como 0</x:v>
      </x:c>
      <x:c r="F10" s="26" t="str">
        <x:v>T10,T11,T22</x:v>
      </x:c>
      <x:c r="G10" s="26" t="str">
        <x:v>Modelo Matemático 1.1</x:v>
      </x:c>
    </x:row>
    <x:row r="11">
      <x:c r="A11" s="26" t="str">
        <x:v>R009</x:v>
      </x:c>
      <x:c r="B11" s="26" t="str">
        <x:v>BT</x:v>
      </x:c>
      <x:c r="C11" s="26" t="str">
        <x:v>≥2 RP válidos</x:v>
      </x:c>
      <x:c r="D11" s="26" t="str">
        <x:v>MAX-MIN</x:v>
      </x:c>
      <x:c r="E11" s="26" t="str">
        <x:v>Otra fórmula</x:v>
      </x:c>
      <x:c r="F11" s="26" t="str">
        <x:v>T12-T17,T22</x:v>
      </x:c>
      <x:c r="G11" s="26" t="str">
        <x:v>Modelo Matemático 1.1</x:v>
      </x:c>
    </x:row>
    <x:row r="12">
      <x:c r="A12" s="26" t="str">
        <x:v>R010-R013</x:v>
      </x:c>
      <x:c r="B12" s="26" t="str">
        <x:v>Clasificación BT</x:v>
      </x:c>
      <x:c r="C12" s="26" t="str">
        <x:v>0-12 / 13-24 / 25-37 / 38-100</x:v>
      </x:c>
      <x:c r="D12" s="26" t="str">
        <x:v>Respetar fronteras</x:v>
      </x:c>
      <x:c r="E12" s="26" t="str">
        <x:v>Mover fronteras</x:v>
      </x:c>
      <x:c r="F12" s="26" t="str">
        <x:v>T12-T17</x:v>
      </x:c>
      <x:c r="G12" s="26" t="str">
        <x:v>Protocolo Triangulación 1.1</x:v>
      </x:c>
    </x:row>
    <x:row r="13">
      <x:c r="A13" s="26" t="str">
        <x:v>R014</x:v>
      </x:c>
      <x:c r="B13" s="26" t="str">
        <x:v>RI integrado</x:v>
      </x:c>
      <x:c r="C13" s="26" t="str">
        <x:v>≥2 RP válidos</x:v>
      </x:c>
      <x:c r="D13" s="26" t="str">
        <x:v>Promedio simple</x:v>
      </x:c>
      <x:c r="E13" s="26" t="str">
        <x:v>Ponderar por n</x:v>
      </x:c>
      <x:c r="F13" s="26" t="str">
        <x:v>T18,T22</x:v>
      </x:c>
      <x:c r="G13" s="26" t="str">
        <x:v>Modelo Matemático 1.1</x:v>
      </x:c>
    </x:row>
    <x:row r="14">
      <x:c r="A14" s="26" t="str">
        <x:v>R015</x:v>
      </x:c>
      <x:c r="B14" s="26" t="str">
        <x:v>RI limitado</x:v>
      </x:c>
      <x:c r="C14" s="26" t="str">
        <x:v>1 RP válido</x:v>
      </x:c>
      <x:c r="D14" s="26" t="str">
        <x:v>LIMITED</x:v>
      </x:c>
      <x:c r="E14" s="26" t="str">
        <x:v>Llamarlo integrado completo</x:v>
      </x:c>
      <x:c r="F14" s="26" t="str">
        <x:v>T19</x:v>
      </x:c>
      <x:c r="G14" s="26" t="str">
        <x:v>Protocolo Triangulación 1.1</x:v>
      </x:c>
    </x:row>
    <x:row r="15">
      <x:c r="A15" s="26" t="str">
        <x:v>R016</x:v>
      </x:c>
      <x:c r="B15" s="26" t="str">
        <x:v>IEO Global</x:v>
      </x:c>
      <x:c r="C15" s="26" t="str">
        <x:v>8 RI válidos</x:v>
      </x:c>
      <x:c r="D15" s="26" t="str">
        <x:v>Promedio 8 RI</x:v>
      </x:c>
      <x:c r="E15" s="26" t="str">
        <x:v>Ponderar Elementos</x:v>
      </x:c>
      <x:c r="F15" s="26" t="str">
        <x:v>T20</x:v>
      </x:c>
      <x:c r="G15" s="26" t="str">
        <x:v>Modelo Matemático 1.1</x:v>
      </x:c>
    </x:row>
    <x:row r="16">
      <x:c r="A16" s="26" t="str">
        <x:v>R017</x:v>
      </x:c>
      <x:c r="B16" s="26" t="str">
        <x:v>Precisión</x:v>
      </x:c>
      <x:c r="C16" s="26" t="str">
        <x:v>Todos los niveles</x:v>
      </x:c>
      <x:c r="D16" s="26" t="str">
        <x:v>No redondear intermedios</x:v>
      </x:c>
      <x:c r="E16" s="26" t="str">
        <x:v>Redondeo temprano</x:v>
      </x:c>
      <x:c r="F16" s="26" t="str">
        <x:v>T21</x:v>
      </x:c>
      <x:c r="G16" s="26" t="str">
        <x:v>Modelo Matemático 1.1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b8901efa77e41e7"/>
  </x:tableParts>
</x:worksheet>
</file>